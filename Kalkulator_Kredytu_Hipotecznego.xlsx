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y" sheetId="1" state="visible" r:id="rId1"/>
    <sheet name="Harmonogram" sheetId="2" state="visible" r:id="rId2"/>
    <sheet name="Podsumowan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\ &quot;zł&quot;"/>
    <numFmt numFmtId="165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sz val="11"/>
    </font>
    <font>
      <name val="Calibri"/>
      <color rgb="00000000"/>
      <sz val="11"/>
    </font>
    <font>
      <name val="Calibri"/>
      <i val="1"/>
      <color rgb="00595959"/>
      <sz val="9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595959"/>
      <sz val="9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i val="1"/>
      <color rgb="00595959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right" vertical="center"/>
    </xf>
    <xf numFmtId="10" fontId="10" fillId="7" borderId="1" applyAlignment="1" pivotButton="0" quotePrefix="0" xfId="0">
      <alignment horizontal="center" vertical="center"/>
    </xf>
    <xf numFmtId="164" fontId="10" fillId="8" borderId="6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1" fontId="10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right" vertical="center"/>
    </xf>
    <xf numFmtId="10" fontId="10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right" vertical="center"/>
    </xf>
    <xf numFmtId="1" fontId="10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1" fontId="13" fillId="9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1" fontId="6" fillId="7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18" customWidth="1" min="4" max="4"/>
  </cols>
  <sheetData>
    <row r="1" ht="10" customHeight="1"/>
    <row r="2" ht="36" customHeight="1">
      <c r="B2" s="1" t="inlineStr">
        <is>
          <t>🏠  KALKULATOR KREDYTU HIPOTECZNEGO</t>
        </is>
      </c>
      <c r="C2" s="2" t="n"/>
      <c r="D2" s="3" t="n"/>
    </row>
    <row r="3" ht="8" customHeight="1"/>
    <row r="4" ht="24" customHeight="1">
      <c r="B4" s="4" t="inlineStr">
        <is>
          <t>PARAMETRY KREDYTU</t>
        </is>
      </c>
      <c r="C4" s="2" t="n"/>
      <c r="D4" s="3" t="n"/>
    </row>
    <row r="5" ht="22" customHeight="1">
      <c r="B5" s="5" t="inlineStr">
        <is>
          <t>Pozostała kwota do spłaty (saldo)</t>
        </is>
      </c>
      <c r="C5" s="6" t="n">
        <v>533693.01</v>
      </c>
      <c r="D5" s="7" t="inlineStr">
        <is>
          <t>Edytuj → aktualizuje harmonogram</t>
        </is>
      </c>
    </row>
    <row r="6" ht="22" customHeight="1">
      <c r="B6" s="5" t="inlineStr">
        <is>
          <t>Liczba pozostałych rat</t>
        </is>
      </c>
      <c r="C6" s="8" t="n">
        <v>323</v>
      </c>
      <c r="D6" s="7" t="inlineStr">
        <is>
          <t>Edytuj → aktualizuje harmonogram</t>
        </is>
      </c>
    </row>
    <row r="7" ht="22" customHeight="1">
      <c r="B7" s="5" t="inlineStr">
        <is>
          <t>Bieżąca rata miesięczna</t>
        </is>
      </c>
      <c r="C7" s="6" t="n">
        <v>3234.73</v>
      </c>
      <c r="D7" s="7" t="inlineStr">
        <is>
          <t>Edytuj → aktualizuje harmonogram</t>
        </is>
      </c>
    </row>
    <row r="8" ht="22" customHeight="1">
      <c r="B8" s="5" t="inlineStr">
        <is>
          <t>Oprocentowanie I okres (%)</t>
        </is>
      </c>
      <c r="C8" s="9" t="n">
        <v>0.0579</v>
      </c>
      <c r="D8" s="7" t="inlineStr">
        <is>
          <t>np. 5,79% wpisz jako 0.0579</t>
        </is>
      </c>
    </row>
    <row r="9" ht="22" customHeight="1">
      <c r="B9" s="5" t="inlineStr">
        <is>
          <t>Liczba rat w I okresie oprocentowania</t>
        </is>
      </c>
      <c r="C9" s="8" t="n">
        <v>58</v>
      </c>
      <c r="D9" s="7" t="inlineStr">
        <is>
          <t>Po tylu ratach zmiana stopy</t>
        </is>
      </c>
    </row>
    <row r="10" ht="22" customHeight="1">
      <c r="B10" s="5" t="inlineStr">
        <is>
          <t>Oprocentowanie II okres (%)</t>
        </is>
      </c>
      <c r="C10" s="9" t="n">
        <v>0.06</v>
      </c>
      <c r="D10" s="7" t="inlineStr">
        <is>
          <t>Stopa po zmianie</t>
        </is>
      </c>
    </row>
    <row r="11" ht="22" customHeight="1">
      <c r="B11" s="5" t="inlineStr">
        <is>
          <t>Dzień spłaty (dzień miesiąca)</t>
        </is>
      </c>
      <c r="C11" s="8" t="n">
        <v>19</v>
      </c>
      <c r="D11" s="7" t="inlineStr">
        <is>
          <t>19 = 19. dzień miesiąca</t>
        </is>
      </c>
    </row>
    <row r="12" ht="22" customHeight="1">
      <c r="B12" s="5" t="inlineStr">
        <is>
          <t>Rok startowy</t>
        </is>
      </c>
      <c r="C12" s="8" t="n">
        <v>2026</v>
      </c>
      <c r="D12" s="7" t="inlineStr">
        <is>
          <t>Rok pierwszej raty</t>
        </is>
      </c>
    </row>
    <row r="13" ht="22" customHeight="1">
      <c r="B13" s="5" t="inlineStr">
        <is>
          <t>Miesiąc startowy (1-12)</t>
        </is>
      </c>
      <c r="C13" s="8" t="n">
        <v>7</v>
      </c>
      <c r="D13" s="7" t="inlineStr">
        <is>
          <t>7 = lipiec</t>
        </is>
      </c>
    </row>
    <row r="14" ht="8" customHeight="1"/>
    <row r="15" ht="24" customHeight="1">
      <c r="B15" s="4" t="inlineStr">
        <is>
          <t>JAK KORZYSTAĆ Z ARKUSZA</t>
        </is>
      </c>
      <c r="C15" s="2" t="n"/>
      <c r="D15" s="3" t="n"/>
    </row>
    <row r="16" ht="20" customHeight="1">
      <c r="B16" s="10" t="inlineStr">
        <is>
          <t>1. Sprawdź / edytuj parametry w żółtych polach powyżej.</t>
        </is>
      </c>
      <c r="C16" s="2" t="n"/>
      <c r="D16" s="3" t="n"/>
    </row>
    <row r="17" ht="20" customHeight="1">
      <c r="B17" s="10" t="inlineStr">
        <is>
          <t>2. Przejdź do arkusza 'Harmonogram'.</t>
        </is>
      </c>
      <c r="C17" s="2" t="n"/>
      <c r="D17" s="3" t="n"/>
    </row>
    <row r="18" ht="20" customHeight="1">
      <c r="B18" s="10" t="inlineStr">
        <is>
          <t>3. W kolumnie 'NADPŁATA (wpisz)' wpisz kwotę nadpłaty dla danego miesiąca.</t>
        </is>
      </c>
      <c r="C18" s="2" t="n"/>
      <c r="D18" s="3" t="n"/>
    </row>
    <row r="19" ht="20" customHeight="1">
      <c r="B19" s="10" t="inlineStr">
        <is>
          <t>4. Minimalna zalecana nadpłata = wysokość następnej raty (kolumna 'Sug. nadpłata').</t>
        </is>
      </c>
      <c r="C19" s="2" t="n"/>
      <c r="D19" s="3" t="n"/>
    </row>
    <row r="20" ht="20" customHeight="1">
      <c r="B20" s="10" t="inlineStr">
        <is>
          <t>5. Wszystkie pozostałe obliczenia aktualizują się automatycznie.</t>
        </is>
      </c>
      <c r="C20" s="2" t="n"/>
      <c r="D20" s="3" t="n"/>
    </row>
    <row r="21" ht="20" customHeight="1">
      <c r="B21" s="10" t="inlineStr">
        <is>
          <t>6. W arkuszu 'Podsumowanie' zobaczysz oszczędności i skrócenie okresu kredytu.</t>
        </is>
      </c>
      <c r="C21" s="2" t="n"/>
      <c r="D21" s="3" t="n"/>
    </row>
  </sheetData>
  <mergeCells count="9">
    <mergeCell ref="B19:D19"/>
    <mergeCell ref="B4:D4"/>
    <mergeCell ref="B17:D17"/>
    <mergeCell ref="B2:D2"/>
    <mergeCell ref="B18:D18"/>
    <mergeCell ref="B21:D21"/>
    <mergeCell ref="B15:D15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3" customWidth="1" min="2" max="2"/>
    <col width="7" customWidth="1" min="3" max="3"/>
    <col width="18" customWidth="1" min="4" max="4"/>
    <col width="9" customWidth="1" min="5" max="5"/>
    <col width="14" customWidth="1" min="6" max="6"/>
    <col width="13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28" customHeight="1">
      <c r="A1" s="11" t="inlineStr">
        <is>
          <t>HARMONOGRAM SPŁATY KREDYTU HIPOTECZNEGO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36" customHeight="1">
      <c r="A2" s="12" t="inlineStr">
        <is>
          <t>Lp.</t>
        </is>
      </c>
      <c r="B2" s="12" t="inlineStr">
        <is>
          <t>DATA
SPŁATY</t>
        </is>
      </c>
      <c r="C2" s="12" t="inlineStr">
        <is>
          <t>NR
RATY</t>
        </is>
      </c>
      <c r="D2" s="12" t="inlineStr">
        <is>
          <t>SALDO
POCZĄTEK</t>
        </is>
      </c>
      <c r="E2" s="12" t="inlineStr">
        <is>
          <t>OPROCENT.</t>
        </is>
      </c>
      <c r="F2" s="12" t="inlineStr">
        <is>
          <t>ODSETKI</t>
        </is>
      </c>
      <c r="G2" s="12" t="inlineStr">
        <is>
          <t>RATA
STANDARD.</t>
        </is>
      </c>
      <c r="H2" s="12" t="inlineStr">
        <is>
          <t>NADPŁATA
(wpisz)</t>
        </is>
      </c>
      <c r="I2" s="12" t="inlineStr">
        <is>
          <t>SUG.
NADPŁATA</t>
        </is>
      </c>
      <c r="J2" s="12" t="inlineStr">
        <is>
          <t>CAŁK.
SPŁATA</t>
        </is>
      </c>
      <c r="K2" s="12" t="inlineStr">
        <is>
          <t>KAPITAŁ</t>
        </is>
      </c>
      <c r="L2" s="12" t="inlineStr">
        <is>
          <t>SALDO
KONIEC</t>
        </is>
      </c>
      <c r="M2" s="12" t="inlineStr">
        <is>
          <t>POZ.
RAT</t>
        </is>
      </c>
    </row>
    <row r="3" ht="18" customHeight="1">
      <c r="A3" s="13" t="n">
        <v>1</v>
      </c>
      <c r="B3" s="14">
        <f>DATE(Parametry!$C$12+INT((Parametry!$C$13+1-2)/12),MOD(Parametry!$C$13+1-2,12)+1,Parametry!$C$11)</f>
        <v/>
      </c>
      <c r="C3" s="15" t="n">
        <v>1</v>
      </c>
      <c r="D3" s="16">
        <f>Parametry!$C$5</f>
        <v/>
      </c>
      <c r="E3" s="17">
        <f>IF(C3&lt;=Parametry!$C$9,Parametry!$C$8,Parametry!$C$10)</f>
        <v/>
      </c>
      <c r="F3" s="16">
        <f>D3*E3/12</f>
        <v/>
      </c>
      <c r="G3" s="16">
        <f>Parametry!$C$7</f>
        <v/>
      </c>
      <c r="H3" s="18" t="n"/>
      <c r="I3" s="19">
        <f>Parametry!$C$7</f>
        <v/>
      </c>
      <c r="J3" s="20">
        <f>G3+IF(ISNUMBER(H3),H3,0)</f>
        <v/>
      </c>
      <c r="K3" s="16">
        <f>MAX(0,J3-F3)</f>
        <v/>
      </c>
      <c r="L3" s="20">
        <f>MAX(0,D3-K3)</f>
        <v/>
      </c>
      <c r="M3" s="21">
        <f>IF(L3&lt;=0,0,MAX(0,ROUNDUP(-LN(1-L3*(E3/12)/Parametry!$C$7)/LN(1+E3/12),0)))</f>
        <v/>
      </c>
    </row>
    <row r="4" ht="18" customHeight="1">
      <c r="A4" s="22" t="n">
        <v>2</v>
      </c>
      <c r="B4" s="23">
        <f>DATE(Parametry!$C$12+INT((Parametry!$C$13+2-2)/12),MOD(Parametry!$C$13+2-2,12)+1,Parametry!$C$11)</f>
        <v/>
      </c>
      <c r="C4" s="24" t="n">
        <v>2</v>
      </c>
      <c r="D4" s="25">
        <f>L3</f>
        <v/>
      </c>
      <c r="E4" s="26">
        <f>IF(C4&lt;=Parametry!$C$9,Parametry!$C$8,Parametry!$C$10)</f>
        <v/>
      </c>
      <c r="F4" s="25">
        <f>D4*E4/12</f>
        <v/>
      </c>
      <c r="G4" s="25">
        <f>Parametry!$C$7</f>
        <v/>
      </c>
      <c r="H4" s="18" t="n"/>
      <c r="I4" s="19">
        <f>Parametry!$C$7</f>
        <v/>
      </c>
      <c r="J4" s="27">
        <f>G4+IF(ISNUMBER(H4),H4,0)</f>
        <v/>
      </c>
      <c r="K4" s="25">
        <f>MAX(0,J4-F4)</f>
        <v/>
      </c>
      <c r="L4" s="27">
        <f>MAX(0,D4-K4)</f>
        <v/>
      </c>
      <c r="M4" s="28">
        <f>IF(L4&lt;=0,0,MAX(0,ROUNDUP(-LN(1-L4*(E4/12)/Parametry!$C$7)/LN(1+E4/12),0)))</f>
        <v/>
      </c>
    </row>
    <row r="5" ht="18" customHeight="1">
      <c r="A5" s="13" t="n">
        <v>3</v>
      </c>
      <c r="B5" s="14">
        <f>DATE(Parametry!$C$12+INT((Parametry!$C$13+3-2)/12),MOD(Parametry!$C$13+3-2,12)+1,Parametry!$C$11)</f>
        <v/>
      </c>
      <c r="C5" s="15" t="n">
        <v>3</v>
      </c>
      <c r="D5" s="16">
        <f>L4</f>
        <v/>
      </c>
      <c r="E5" s="17">
        <f>IF(C5&lt;=Parametry!$C$9,Parametry!$C$8,Parametry!$C$10)</f>
        <v/>
      </c>
      <c r="F5" s="16">
        <f>D5*E5/12</f>
        <v/>
      </c>
      <c r="G5" s="16">
        <f>Parametry!$C$7</f>
        <v/>
      </c>
      <c r="H5" s="18" t="n"/>
      <c r="I5" s="19">
        <f>Parametry!$C$7</f>
        <v/>
      </c>
      <c r="J5" s="20">
        <f>G5+IF(ISNUMBER(H5),H5,0)</f>
        <v/>
      </c>
      <c r="K5" s="16">
        <f>MAX(0,J5-F5)</f>
        <v/>
      </c>
      <c r="L5" s="20">
        <f>MAX(0,D5-K5)</f>
        <v/>
      </c>
      <c r="M5" s="21">
        <f>IF(L5&lt;=0,0,MAX(0,ROUNDUP(-LN(1-L5*(E5/12)/Parametry!$C$7)/LN(1+E5/12),0)))</f>
        <v/>
      </c>
    </row>
    <row r="6" ht="18" customHeight="1">
      <c r="A6" s="22" t="n">
        <v>4</v>
      </c>
      <c r="B6" s="23">
        <f>DATE(Parametry!$C$12+INT((Parametry!$C$13+4-2)/12),MOD(Parametry!$C$13+4-2,12)+1,Parametry!$C$11)</f>
        <v/>
      </c>
      <c r="C6" s="24" t="n">
        <v>4</v>
      </c>
      <c r="D6" s="25">
        <f>L5</f>
        <v/>
      </c>
      <c r="E6" s="26">
        <f>IF(C6&lt;=Parametry!$C$9,Parametry!$C$8,Parametry!$C$10)</f>
        <v/>
      </c>
      <c r="F6" s="25">
        <f>D6*E6/12</f>
        <v/>
      </c>
      <c r="G6" s="25">
        <f>Parametry!$C$7</f>
        <v/>
      </c>
      <c r="H6" s="18" t="n"/>
      <c r="I6" s="19">
        <f>Parametry!$C$7</f>
        <v/>
      </c>
      <c r="J6" s="27">
        <f>G6+IF(ISNUMBER(H6),H6,0)</f>
        <v/>
      </c>
      <c r="K6" s="25">
        <f>MAX(0,J6-F6)</f>
        <v/>
      </c>
      <c r="L6" s="27">
        <f>MAX(0,D6-K6)</f>
        <v/>
      </c>
      <c r="M6" s="28">
        <f>IF(L6&lt;=0,0,MAX(0,ROUNDUP(-LN(1-L6*(E6/12)/Parametry!$C$7)/LN(1+E6/12),0)))</f>
        <v/>
      </c>
    </row>
    <row r="7" ht="18" customHeight="1">
      <c r="A7" s="13" t="n">
        <v>5</v>
      </c>
      <c r="B7" s="14">
        <f>DATE(Parametry!$C$12+INT((Parametry!$C$13+5-2)/12),MOD(Parametry!$C$13+5-2,12)+1,Parametry!$C$11)</f>
        <v/>
      </c>
      <c r="C7" s="15" t="n">
        <v>5</v>
      </c>
      <c r="D7" s="16">
        <f>L6</f>
        <v/>
      </c>
      <c r="E7" s="17">
        <f>IF(C7&lt;=Parametry!$C$9,Parametry!$C$8,Parametry!$C$10)</f>
        <v/>
      </c>
      <c r="F7" s="16">
        <f>D7*E7/12</f>
        <v/>
      </c>
      <c r="G7" s="16">
        <f>Parametry!$C$7</f>
        <v/>
      </c>
      <c r="H7" s="18" t="n"/>
      <c r="I7" s="19">
        <f>Parametry!$C$7</f>
        <v/>
      </c>
      <c r="J7" s="20">
        <f>G7+IF(ISNUMBER(H7),H7,0)</f>
        <v/>
      </c>
      <c r="K7" s="16">
        <f>MAX(0,J7-F7)</f>
        <v/>
      </c>
      <c r="L7" s="20">
        <f>MAX(0,D7-K7)</f>
        <v/>
      </c>
      <c r="M7" s="21">
        <f>IF(L7&lt;=0,0,MAX(0,ROUNDUP(-LN(1-L7*(E7/12)/Parametry!$C$7)/LN(1+E7/12),0)))</f>
        <v/>
      </c>
    </row>
    <row r="8" ht="18" customHeight="1">
      <c r="A8" s="22" t="n">
        <v>6</v>
      </c>
      <c r="B8" s="23">
        <f>DATE(Parametry!$C$12+INT((Parametry!$C$13+6-2)/12),MOD(Parametry!$C$13+6-2,12)+1,Parametry!$C$11)</f>
        <v/>
      </c>
      <c r="C8" s="24" t="n">
        <v>6</v>
      </c>
      <c r="D8" s="25">
        <f>L7</f>
        <v/>
      </c>
      <c r="E8" s="26">
        <f>IF(C8&lt;=Parametry!$C$9,Parametry!$C$8,Parametry!$C$10)</f>
        <v/>
      </c>
      <c r="F8" s="25">
        <f>D8*E8/12</f>
        <v/>
      </c>
      <c r="G8" s="25">
        <f>Parametry!$C$7</f>
        <v/>
      </c>
      <c r="H8" s="18" t="n"/>
      <c r="I8" s="19">
        <f>Parametry!$C$7</f>
        <v/>
      </c>
      <c r="J8" s="27">
        <f>G8+IF(ISNUMBER(H8),H8,0)</f>
        <v/>
      </c>
      <c r="K8" s="25">
        <f>MAX(0,J8-F8)</f>
        <v/>
      </c>
      <c r="L8" s="27">
        <f>MAX(0,D8-K8)</f>
        <v/>
      </c>
      <c r="M8" s="28">
        <f>IF(L8&lt;=0,0,MAX(0,ROUNDUP(-LN(1-L8*(E8/12)/Parametry!$C$7)/LN(1+E8/12),0)))</f>
        <v/>
      </c>
    </row>
    <row r="9" ht="18" customHeight="1">
      <c r="A9" s="13" t="n">
        <v>7</v>
      </c>
      <c r="B9" s="14">
        <f>DATE(Parametry!$C$12+INT((Parametry!$C$13+7-2)/12),MOD(Parametry!$C$13+7-2,12)+1,Parametry!$C$11)</f>
        <v/>
      </c>
      <c r="C9" s="15" t="n">
        <v>7</v>
      </c>
      <c r="D9" s="16">
        <f>L8</f>
        <v/>
      </c>
      <c r="E9" s="17">
        <f>IF(C9&lt;=Parametry!$C$9,Parametry!$C$8,Parametry!$C$10)</f>
        <v/>
      </c>
      <c r="F9" s="16">
        <f>D9*E9/12</f>
        <v/>
      </c>
      <c r="G9" s="16">
        <f>Parametry!$C$7</f>
        <v/>
      </c>
      <c r="H9" s="18" t="n"/>
      <c r="I9" s="19">
        <f>Parametry!$C$7</f>
        <v/>
      </c>
      <c r="J9" s="20">
        <f>G9+IF(ISNUMBER(H9),H9,0)</f>
        <v/>
      </c>
      <c r="K9" s="16">
        <f>MAX(0,J9-F9)</f>
        <v/>
      </c>
      <c r="L9" s="20">
        <f>MAX(0,D9-K9)</f>
        <v/>
      </c>
      <c r="M9" s="21">
        <f>IF(L9&lt;=0,0,MAX(0,ROUNDUP(-LN(1-L9*(E9/12)/Parametry!$C$7)/LN(1+E9/12),0)))</f>
        <v/>
      </c>
    </row>
    <row r="10" ht="18" customHeight="1">
      <c r="A10" s="22" t="n">
        <v>8</v>
      </c>
      <c r="B10" s="23">
        <f>DATE(Parametry!$C$12+INT((Parametry!$C$13+8-2)/12),MOD(Parametry!$C$13+8-2,12)+1,Parametry!$C$11)</f>
        <v/>
      </c>
      <c r="C10" s="24" t="n">
        <v>8</v>
      </c>
      <c r="D10" s="25">
        <f>L9</f>
        <v/>
      </c>
      <c r="E10" s="26">
        <f>IF(C10&lt;=Parametry!$C$9,Parametry!$C$8,Parametry!$C$10)</f>
        <v/>
      </c>
      <c r="F10" s="25">
        <f>D10*E10/12</f>
        <v/>
      </c>
      <c r="G10" s="25">
        <f>Parametry!$C$7</f>
        <v/>
      </c>
      <c r="H10" s="18" t="n"/>
      <c r="I10" s="19">
        <f>Parametry!$C$7</f>
        <v/>
      </c>
      <c r="J10" s="27">
        <f>G10+IF(ISNUMBER(H10),H10,0)</f>
        <v/>
      </c>
      <c r="K10" s="25">
        <f>MAX(0,J10-F10)</f>
        <v/>
      </c>
      <c r="L10" s="27">
        <f>MAX(0,D10-K10)</f>
        <v/>
      </c>
      <c r="M10" s="28">
        <f>IF(L10&lt;=0,0,MAX(0,ROUNDUP(-LN(1-L10*(E10/12)/Parametry!$C$7)/LN(1+E10/12),0)))</f>
        <v/>
      </c>
    </row>
    <row r="11" ht="18" customHeight="1">
      <c r="A11" s="13" t="n">
        <v>9</v>
      </c>
      <c r="B11" s="14">
        <f>DATE(Parametry!$C$12+INT((Parametry!$C$13+9-2)/12),MOD(Parametry!$C$13+9-2,12)+1,Parametry!$C$11)</f>
        <v/>
      </c>
      <c r="C11" s="15" t="n">
        <v>9</v>
      </c>
      <c r="D11" s="16">
        <f>L10</f>
        <v/>
      </c>
      <c r="E11" s="17">
        <f>IF(C11&lt;=Parametry!$C$9,Parametry!$C$8,Parametry!$C$10)</f>
        <v/>
      </c>
      <c r="F11" s="16">
        <f>D11*E11/12</f>
        <v/>
      </c>
      <c r="G11" s="16">
        <f>Parametry!$C$7</f>
        <v/>
      </c>
      <c r="H11" s="18" t="n"/>
      <c r="I11" s="19">
        <f>Parametry!$C$7</f>
        <v/>
      </c>
      <c r="J11" s="20">
        <f>G11+IF(ISNUMBER(H11),H11,0)</f>
        <v/>
      </c>
      <c r="K11" s="16">
        <f>MAX(0,J11-F11)</f>
        <v/>
      </c>
      <c r="L11" s="20">
        <f>MAX(0,D11-K11)</f>
        <v/>
      </c>
      <c r="M11" s="21">
        <f>IF(L11&lt;=0,0,MAX(0,ROUNDUP(-LN(1-L11*(E11/12)/Parametry!$C$7)/LN(1+E11/12),0)))</f>
        <v/>
      </c>
    </row>
    <row r="12" ht="18" customHeight="1">
      <c r="A12" s="22" t="n">
        <v>10</v>
      </c>
      <c r="B12" s="23">
        <f>DATE(Parametry!$C$12+INT((Parametry!$C$13+10-2)/12),MOD(Parametry!$C$13+10-2,12)+1,Parametry!$C$11)</f>
        <v/>
      </c>
      <c r="C12" s="24" t="n">
        <v>10</v>
      </c>
      <c r="D12" s="25">
        <f>L11</f>
        <v/>
      </c>
      <c r="E12" s="26">
        <f>IF(C12&lt;=Parametry!$C$9,Parametry!$C$8,Parametry!$C$10)</f>
        <v/>
      </c>
      <c r="F12" s="25">
        <f>D12*E12/12</f>
        <v/>
      </c>
      <c r="G12" s="25">
        <f>Parametry!$C$7</f>
        <v/>
      </c>
      <c r="H12" s="18" t="n"/>
      <c r="I12" s="19">
        <f>Parametry!$C$7</f>
        <v/>
      </c>
      <c r="J12" s="27">
        <f>G12+IF(ISNUMBER(H12),H12,0)</f>
        <v/>
      </c>
      <c r="K12" s="25">
        <f>MAX(0,J12-F12)</f>
        <v/>
      </c>
      <c r="L12" s="27">
        <f>MAX(0,D12-K12)</f>
        <v/>
      </c>
      <c r="M12" s="28">
        <f>IF(L12&lt;=0,0,MAX(0,ROUNDUP(-LN(1-L12*(E12/12)/Parametry!$C$7)/LN(1+E12/12),0)))</f>
        <v/>
      </c>
    </row>
    <row r="13" ht="18" customHeight="1">
      <c r="A13" s="13" t="n">
        <v>11</v>
      </c>
      <c r="B13" s="14">
        <f>DATE(Parametry!$C$12+INT((Parametry!$C$13+11-2)/12),MOD(Parametry!$C$13+11-2,12)+1,Parametry!$C$11)</f>
        <v/>
      </c>
      <c r="C13" s="15" t="n">
        <v>11</v>
      </c>
      <c r="D13" s="16">
        <f>L12</f>
        <v/>
      </c>
      <c r="E13" s="17">
        <f>IF(C13&lt;=Parametry!$C$9,Parametry!$C$8,Parametry!$C$10)</f>
        <v/>
      </c>
      <c r="F13" s="16">
        <f>D13*E13/12</f>
        <v/>
      </c>
      <c r="G13" s="16">
        <f>Parametry!$C$7</f>
        <v/>
      </c>
      <c r="H13" s="18" t="n"/>
      <c r="I13" s="19">
        <f>Parametry!$C$7</f>
        <v/>
      </c>
      <c r="J13" s="20">
        <f>G13+IF(ISNUMBER(H13),H13,0)</f>
        <v/>
      </c>
      <c r="K13" s="16">
        <f>MAX(0,J13-F13)</f>
        <v/>
      </c>
      <c r="L13" s="20">
        <f>MAX(0,D13-K13)</f>
        <v/>
      </c>
      <c r="M13" s="21">
        <f>IF(L13&lt;=0,0,MAX(0,ROUNDUP(-LN(1-L13*(E13/12)/Parametry!$C$7)/LN(1+E13/12),0)))</f>
        <v/>
      </c>
    </row>
    <row r="14" ht="18" customHeight="1">
      <c r="A14" s="22" t="n">
        <v>12</v>
      </c>
      <c r="B14" s="23">
        <f>DATE(Parametry!$C$12+INT((Parametry!$C$13+12-2)/12),MOD(Parametry!$C$13+12-2,12)+1,Parametry!$C$11)</f>
        <v/>
      </c>
      <c r="C14" s="24" t="n">
        <v>12</v>
      </c>
      <c r="D14" s="25">
        <f>L13</f>
        <v/>
      </c>
      <c r="E14" s="26">
        <f>IF(C14&lt;=Parametry!$C$9,Parametry!$C$8,Parametry!$C$10)</f>
        <v/>
      </c>
      <c r="F14" s="25">
        <f>D14*E14/12</f>
        <v/>
      </c>
      <c r="G14" s="25">
        <f>Parametry!$C$7</f>
        <v/>
      </c>
      <c r="H14" s="18" t="n"/>
      <c r="I14" s="19">
        <f>Parametry!$C$7</f>
        <v/>
      </c>
      <c r="J14" s="27">
        <f>G14+IF(ISNUMBER(H14),H14,0)</f>
        <v/>
      </c>
      <c r="K14" s="25">
        <f>MAX(0,J14-F14)</f>
        <v/>
      </c>
      <c r="L14" s="27">
        <f>MAX(0,D14-K14)</f>
        <v/>
      </c>
      <c r="M14" s="28">
        <f>IF(L14&lt;=0,0,MAX(0,ROUNDUP(-LN(1-L14*(E14/12)/Parametry!$C$7)/LN(1+E14/12),0)))</f>
        <v/>
      </c>
    </row>
    <row r="15" ht="18" customHeight="1">
      <c r="A15" s="13" t="n">
        <v>13</v>
      </c>
      <c r="B15" s="14">
        <f>DATE(Parametry!$C$12+INT((Parametry!$C$13+13-2)/12),MOD(Parametry!$C$13+13-2,12)+1,Parametry!$C$11)</f>
        <v/>
      </c>
      <c r="C15" s="15" t="n">
        <v>13</v>
      </c>
      <c r="D15" s="16">
        <f>L14</f>
        <v/>
      </c>
      <c r="E15" s="17">
        <f>IF(C15&lt;=Parametry!$C$9,Parametry!$C$8,Parametry!$C$10)</f>
        <v/>
      </c>
      <c r="F15" s="16">
        <f>D15*E15/12</f>
        <v/>
      </c>
      <c r="G15" s="16">
        <f>Parametry!$C$7</f>
        <v/>
      </c>
      <c r="H15" s="18" t="n"/>
      <c r="I15" s="19">
        <f>Parametry!$C$7</f>
        <v/>
      </c>
      <c r="J15" s="20">
        <f>G15+IF(ISNUMBER(H15),H15,0)</f>
        <v/>
      </c>
      <c r="K15" s="16">
        <f>MAX(0,J15-F15)</f>
        <v/>
      </c>
      <c r="L15" s="20">
        <f>MAX(0,D15-K15)</f>
        <v/>
      </c>
      <c r="M15" s="21">
        <f>IF(L15&lt;=0,0,MAX(0,ROUNDUP(-LN(1-L15*(E15/12)/Parametry!$C$7)/LN(1+E15/12),0)))</f>
        <v/>
      </c>
    </row>
    <row r="16" ht="18" customHeight="1">
      <c r="A16" s="22" t="n">
        <v>14</v>
      </c>
      <c r="B16" s="23">
        <f>DATE(Parametry!$C$12+INT((Parametry!$C$13+14-2)/12),MOD(Parametry!$C$13+14-2,12)+1,Parametry!$C$11)</f>
        <v/>
      </c>
      <c r="C16" s="24" t="n">
        <v>14</v>
      </c>
      <c r="D16" s="25">
        <f>L15</f>
        <v/>
      </c>
      <c r="E16" s="26">
        <f>IF(C16&lt;=Parametry!$C$9,Parametry!$C$8,Parametry!$C$10)</f>
        <v/>
      </c>
      <c r="F16" s="25">
        <f>D16*E16/12</f>
        <v/>
      </c>
      <c r="G16" s="25">
        <f>Parametry!$C$7</f>
        <v/>
      </c>
      <c r="H16" s="18" t="n"/>
      <c r="I16" s="19">
        <f>Parametry!$C$7</f>
        <v/>
      </c>
      <c r="J16" s="27">
        <f>G16+IF(ISNUMBER(H16),H16,0)</f>
        <v/>
      </c>
      <c r="K16" s="25">
        <f>MAX(0,J16-F16)</f>
        <v/>
      </c>
      <c r="L16" s="27">
        <f>MAX(0,D16-K16)</f>
        <v/>
      </c>
      <c r="M16" s="28">
        <f>IF(L16&lt;=0,0,MAX(0,ROUNDUP(-LN(1-L16*(E16/12)/Parametry!$C$7)/LN(1+E16/12),0)))</f>
        <v/>
      </c>
    </row>
    <row r="17" ht="18" customHeight="1">
      <c r="A17" s="13" t="n">
        <v>15</v>
      </c>
      <c r="B17" s="14">
        <f>DATE(Parametry!$C$12+INT((Parametry!$C$13+15-2)/12),MOD(Parametry!$C$13+15-2,12)+1,Parametry!$C$11)</f>
        <v/>
      </c>
      <c r="C17" s="15" t="n">
        <v>15</v>
      </c>
      <c r="D17" s="16">
        <f>L16</f>
        <v/>
      </c>
      <c r="E17" s="17">
        <f>IF(C17&lt;=Parametry!$C$9,Parametry!$C$8,Parametry!$C$10)</f>
        <v/>
      </c>
      <c r="F17" s="16">
        <f>D17*E17/12</f>
        <v/>
      </c>
      <c r="G17" s="16">
        <f>Parametry!$C$7</f>
        <v/>
      </c>
      <c r="H17" s="18" t="n"/>
      <c r="I17" s="19">
        <f>Parametry!$C$7</f>
        <v/>
      </c>
      <c r="J17" s="20">
        <f>G17+IF(ISNUMBER(H17),H17,0)</f>
        <v/>
      </c>
      <c r="K17" s="16">
        <f>MAX(0,J17-F17)</f>
        <v/>
      </c>
      <c r="L17" s="20">
        <f>MAX(0,D17-K17)</f>
        <v/>
      </c>
      <c r="M17" s="21">
        <f>IF(L17&lt;=0,0,MAX(0,ROUNDUP(-LN(1-L17*(E17/12)/Parametry!$C$7)/LN(1+E17/12),0)))</f>
        <v/>
      </c>
    </row>
    <row r="18" ht="18" customHeight="1">
      <c r="A18" s="22" t="n">
        <v>16</v>
      </c>
      <c r="B18" s="23">
        <f>DATE(Parametry!$C$12+INT((Parametry!$C$13+16-2)/12),MOD(Parametry!$C$13+16-2,12)+1,Parametry!$C$11)</f>
        <v/>
      </c>
      <c r="C18" s="24" t="n">
        <v>16</v>
      </c>
      <c r="D18" s="25">
        <f>L17</f>
        <v/>
      </c>
      <c r="E18" s="26">
        <f>IF(C18&lt;=Parametry!$C$9,Parametry!$C$8,Parametry!$C$10)</f>
        <v/>
      </c>
      <c r="F18" s="25">
        <f>D18*E18/12</f>
        <v/>
      </c>
      <c r="G18" s="25">
        <f>Parametry!$C$7</f>
        <v/>
      </c>
      <c r="H18" s="18" t="n"/>
      <c r="I18" s="19">
        <f>Parametry!$C$7</f>
        <v/>
      </c>
      <c r="J18" s="27">
        <f>G18+IF(ISNUMBER(H18),H18,0)</f>
        <v/>
      </c>
      <c r="K18" s="25">
        <f>MAX(0,J18-F18)</f>
        <v/>
      </c>
      <c r="L18" s="27">
        <f>MAX(0,D18-K18)</f>
        <v/>
      </c>
      <c r="M18" s="28">
        <f>IF(L18&lt;=0,0,MAX(0,ROUNDUP(-LN(1-L18*(E18/12)/Parametry!$C$7)/LN(1+E18/12),0)))</f>
        <v/>
      </c>
    </row>
    <row r="19" ht="18" customHeight="1">
      <c r="A19" s="13" t="n">
        <v>17</v>
      </c>
      <c r="B19" s="14">
        <f>DATE(Parametry!$C$12+INT((Parametry!$C$13+17-2)/12),MOD(Parametry!$C$13+17-2,12)+1,Parametry!$C$11)</f>
        <v/>
      </c>
      <c r="C19" s="15" t="n">
        <v>17</v>
      </c>
      <c r="D19" s="16">
        <f>L18</f>
        <v/>
      </c>
      <c r="E19" s="17">
        <f>IF(C19&lt;=Parametry!$C$9,Parametry!$C$8,Parametry!$C$10)</f>
        <v/>
      </c>
      <c r="F19" s="16">
        <f>D19*E19/12</f>
        <v/>
      </c>
      <c r="G19" s="16">
        <f>Parametry!$C$7</f>
        <v/>
      </c>
      <c r="H19" s="18" t="n"/>
      <c r="I19" s="19">
        <f>Parametry!$C$7</f>
        <v/>
      </c>
      <c r="J19" s="20">
        <f>G19+IF(ISNUMBER(H19),H19,0)</f>
        <v/>
      </c>
      <c r="K19" s="16">
        <f>MAX(0,J19-F19)</f>
        <v/>
      </c>
      <c r="L19" s="20">
        <f>MAX(0,D19-K19)</f>
        <v/>
      </c>
      <c r="M19" s="21">
        <f>IF(L19&lt;=0,0,MAX(0,ROUNDUP(-LN(1-L19*(E19/12)/Parametry!$C$7)/LN(1+E19/12),0)))</f>
        <v/>
      </c>
    </row>
    <row r="20" ht="18" customHeight="1">
      <c r="A20" s="22" t="n">
        <v>18</v>
      </c>
      <c r="B20" s="23">
        <f>DATE(Parametry!$C$12+INT((Parametry!$C$13+18-2)/12),MOD(Parametry!$C$13+18-2,12)+1,Parametry!$C$11)</f>
        <v/>
      </c>
      <c r="C20" s="24" t="n">
        <v>18</v>
      </c>
      <c r="D20" s="25">
        <f>L19</f>
        <v/>
      </c>
      <c r="E20" s="26">
        <f>IF(C20&lt;=Parametry!$C$9,Parametry!$C$8,Parametry!$C$10)</f>
        <v/>
      </c>
      <c r="F20" s="25">
        <f>D20*E20/12</f>
        <v/>
      </c>
      <c r="G20" s="25">
        <f>Parametry!$C$7</f>
        <v/>
      </c>
      <c r="H20" s="18" t="n"/>
      <c r="I20" s="19">
        <f>Parametry!$C$7</f>
        <v/>
      </c>
      <c r="J20" s="27">
        <f>G20+IF(ISNUMBER(H20),H20,0)</f>
        <v/>
      </c>
      <c r="K20" s="25">
        <f>MAX(0,J20-F20)</f>
        <v/>
      </c>
      <c r="L20" s="27">
        <f>MAX(0,D20-K20)</f>
        <v/>
      </c>
      <c r="M20" s="28">
        <f>IF(L20&lt;=0,0,MAX(0,ROUNDUP(-LN(1-L20*(E20/12)/Parametry!$C$7)/LN(1+E20/12),0)))</f>
        <v/>
      </c>
    </row>
    <row r="21" ht="18" customHeight="1">
      <c r="A21" s="13" t="n">
        <v>19</v>
      </c>
      <c r="B21" s="14">
        <f>DATE(Parametry!$C$12+INT((Parametry!$C$13+19-2)/12),MOD(Parametry!$C$13+19-2,12)+1,Parametry!$C$11)</f>
        <v/>
      </c>
      <c r="C21" s="15" t="n">
        <v>19</v>
      </c>
      <c r="D21" s="16">
        <f>L20</f>
        <v/>
      </c>
      <c r="E21" s="17">
        <f>IF(C21&lt;=Parametry!$C$9,Parametry!$C$8,Parametry!$C$10)</f>
        <v/>
      </c>
      <c r="F21" s="16">
        <f>D21*E21/12</f>
        <v/>
      </c>
      <c r="G21" s="16">
        <f>Parametry!$C$7</f>
        <v/>
      </c>
      <c r="H21" s="18" t="n"/>
      <c r="I21" s="19">
        <f>Parametry!$C$7</f>
        <v/>
      </c>
      <c r="J21" s="20">
        <f>G21+IF(ISNUMBER(H21),H21,0)</f>
        <v/>
      </c>
      <c r="K21" s="16">
        <f>MAX(0,J21-F21)</f>
        <v/>
      </c>
      <c r="L21" s="20">
        <f>MAX(0,D21-K21)</f>
        <v/>
      </c>
      <c r="M21" s="21">
        <f>IF(L21&lt;=0,0,MAX(0,ROUNDUP(-LN(1-L21*(E21/12)/Parametry!$C$7)/LN(1+E21/12),0)))</f>
        <v/>
      </c>
    </row>
    <row r="22" ht="18" customHeight="1">
      <c r="A22" s="22" t="n">
        <v>20</v>
      </c>
      <c r="B22" s="23">
        <f>DATE(Parametry!$C$12+INT((Parametry!$C$13+20-2)/12),MOD(Parametry!$C$13+20-2,12)+1,Parametry!$C$11)</f>
        <v/>
      </c>
      <c r="C22" s="24" t="n">
        <v>20</v>
      </c>
      <c r="D22" s="25">
        <f>L21</f>
        <v/>
      </c>
      <c r="E22" s="26">
        <f>IF(C22&lt;=Parametry!$C$9,Parametry!$C$8,Parametry!$C$10)</f>
        <v/>
      </c>
      <c r="F22" s="25">
        <f>D22*E22/12</f>
        <v/>
      </c>
      <c r="G22" s="25">
        <f>Parametry!$C$7</f>
        <v/>
      </c>
      <c r="H22" s="18" t="n"/>
      <c r="I22" s="19">
        <f>Parametry!$C$7</f>
        <v/>
      </c>
      <c r="J22" s="27">
        <f>G22+IF(ISNUMBER(H22),H22,0)</f>
        <v/>
      </c>
      <c r="K22" s="25">
        <f>MAX(0,J22-F22)</f>
        <v/>
      </c>
      <c r="L22" s="27">
        <f>MAX(0,D22-K22)</f>
        <v/>
      </c>
      <c r="M22" s="28">
        <f>IF(L22&lt;=0,0,MAX(0,ROUNDUP(-LN(1-L22*(E22/12)/Parametry!$C$7)/LN(1+E22/12),0)))</f>
        <v/>
      </c>
    </row>
    <row r="23" ht="18" customHeight="1">
      <c r="A23" s="13" t="n">
        <v>21</v>
      </c>
      <c r="B23" s="14">
        <f>DATE(Parametry!$C$12+INT((Parametry!$C$13+21-2)/12),MOD(Parametry!$C$13+21-2,12)+1,Parametry!$C$11)</f>
        <v/>
      </c>
      <c r="C23" s="15" t="n">
        <v>21</v>
      </c>
      <c r="D23" s="16">
        <f>L22</f>
        <v/>
      </c>
      <c r="E23" s="17">
        <f>IF(C23&lt;=Parametry!$C$9,Parametry!$C$8,Parametry!$C$10)</f>
        <v/>
      </c>
      <c r="F23" s="16">
        <f>D23*E23/12</f>
        <v/>
      </c>
      <c r="G23" s="16">
        <f>Parametry!$C$7</f>
        <v/>
      </c>
      <c r="H23" s="18" t="n"/>
      <c r="I23" s="19">
        <f>Parametry!$C$7</f>
        <v/>
      </c>
      <c r="J23" s="20">
        <f>G23+IF(ISNUMBER(H23),H23,0)</f>
        <v/>
      </c>
      <c r="K23" s="16">
        <f>MAX(0,J23-F23)</f>
        <v/>
      </c>
      <c r="L23" s="20">
        <f>MAX(0,D23-K23)</f>
        <v/>
      </c>
      <c r="M23" s="21">
        <f>IF(L23&lt;=0,0,MAX(0,ROUNDUP(-LN(1-L23*(E23/12)/Parametry!$C$7)/LN(1+E23/12),0)))</f>
        <v/>
      </c>
    </row>
    <row r="24" ht="18" customHeight="1">
      <c r="A24" s="22" t="n">
        <v>22</v>
      </c>
      <c r="B24" s="23">
        <f>DATE(Parametry!$C$12+INT((Parametry!$C$13+22-2)/12),MOD(Parametry!$C$13+22-2,12)+1,Parametry!$C$11)</f>
        <v/>
      </c>
      <c r="C24" s="24" t="n">
        <v>22</v>
      </c>
      <c r="D24" s="25">
        <f>L23</f>
        <v/>
      </c>
      <c r="E24" s="26">
        <f>IF(C24&lt;=Parametry!$C$9,Parametry!$C$8,Parametry!$C$10)</f>
        <v/>
      </c>
      <c r="F24" s="25">
        <f>D24*E24/12</f>
        <v/>
      </c>
      <c r="G24" s="25">
        <f>Parametry!$C$7</f>
        <v/>
      </c>
      <c r="H24" s="18" t="n"/>
      <c r="I24" s="19">
        <f>Parametry!$C$7</f>
        <v/>
      </c>
      <c r="J24" s="27">
        <f>G24+IF(ISNUMBER(H24),H24,0)</f>
        <v/>
      </c>
      <c r="K24" s="25">
        <f>MAX(0,J24-F24)</f>
        <v/>
      </c>
      <c r="L24" s="27">
        <f>MAX(0,D24-K24)</f>
        <v/>
      </c>
      <c r="M24" s="28">
        <f>IF(L24&lt;=0,0,MAX(0,ROUNDUP(-LN(1-L24*(E24/12)/Parametry!$C$7)/LN(1+E24/12),0)))</f>
        <v/>
      </c>
    </row>
    <row r="25" ht="18" customHeight="1">
      <c r="A25" s="13" t="n">
        <v>23</v>
      </c>
      <c r="B25" s="14">
        <f>DATE(Parametry!$C$12+INT((Parametry!$C$13+23-2)/12),MOD(Parametry!$C$13+23-2,12)+1,Parametry!$C$11)</f>
        <v/>
      </c>
      <c r="C25" s="15" t="n">
        <v>23</v>
      </c>
      <c r="D25" s="16">
        <f>L24</f>
        <v/>
      </c>
      <c r="E25" s="17">
        <f>IF(C25&lt;=Parametry!$C$9,Parametry!$C$8,Parametry!$C$10)</f>
        <v/>
      </c>
      <c r="F25" s="16">
        <f>D25*E25/12</f>
        <v/>
      </c>
      <c r="G25" s="16">
        <f>Parametry!$C$7</f>
        <v/>
      </c>
      <c r="H25" s="18" t="n"/>
      <c r="I25" s="19">
        <f>Parametry!$C$7</f>
        <v/>
      </c>
      <c r="J25" s="20">
        <f>G25+IF(ISNUMBER(H25),H25,0)</f>
        <v/>
      </c>
      <c r="K25" s="16">
        <f>MAX(0,J25-F25)</f>
        <v/>
      </c>
      <c r="L25" s="20">
        <f>MAX(0,D25-K25)</f>
        <v/>
      </c>
      <c r="M25" s="21">
        <f>IF(L25&lt;=0,0,MAX(0,ROUNDUP(-LN(1-L25*(E25/12)/Parametry!$C$7)/LN(1+E25/12),0)))</f>
        <v/>
      </c>
    </row>
    <row r="26" ht="18" customHeight="1">
      <c r="A26" s="22" t="n">
        <v>24</v>
      </c>
      <c r="B26" s="23">
        <f>DATE(Parametry!$C$12+INT((Parametry!$C$13+24-2)/12),MOD(Parametry!$C$13+24-2,12)+1,Parametry!$C$11)</f>
        <v/>
      </c>
      <c r="C26" s="24" t="n">
        <v>24</v>
      </c>
      <c r="D26" s="25">
        <f>L25</f>
        <v/>
      </c>
      <c r="E26" s="26">
        <f>IF(C26&lt;=Parametry!$C$9,Parametry!$C$8,Parametry!$C$10)</f>
        <v/>
      </c>
      <c r="F26" s="25">
        <f>D26*E26/12</f>
        <v/>
      </c>
      <c r="G26" s="25">
        <f>Parametry!$C$7</f>
        <v/>
      </c>
      <c r="H26" s="18" t="n"/>
      <c r="I26" s="19">
        <f>Parametry!$C$7</f>
        <v/>
      </c>
      <c r="J26" s="27">
        <f>G26+IF(ISNUMBER(H26),H26,0)</f>
        <v/>
      </c>
      <c r="K26" s="25">
        <f>MAX(0,J26-F26)</f>
        <v/>
      </c>
      <c r="L26" s="27">
        <f>MAX(0,D26-K26)</f>
        <v/>
      </c>
      <c r="M26" s="28">
        <f>IF(L26&lt;=0,0,MAX(0,ROUNDUP(-LN(1-L26*(E26/12)/Parametry!$C$7)/LN(1+E26/12),0)))</f>
        <v/>
      </c>
    </row>
    <row r="27" ht="18" customHeight="1">
      <c r="A27" s="13" t="n">
        <v>25</v>
      </c>
      <c r="B27" s="14">
        <f>DATE(Parametry!$C$12+INT((Parametry!$C$13+25-2)/12),MOD(Parametry!$C$13+25-2,12)+1,Parametry!$C$11)</f>
        <v/>
      </c>
      <c r="C27" s="15" t="n">
        <v>25</v>
      </c>
      <c r="D27" s="16">
        <f>L26</f>
        <v/>
      </c>
      <c r="E27" s="17">
        <f>IF(C27&lt;=Parametry!$C$9,Parametry!$C$8,Parametry!$C$10)</f>
        <v/>
      </c>
      <c r="F27" s="16">
        <f>D27*E27/12</f>
        <v/>
      </c>
      <c r="G27" s="16">
        <f>Parametry!$C$7</f>
        <v/>
      </c>
      <c r="H27" s="18" t="n"/>
      <c r="I27" s="19">
        <f>Parametry!$C$7</f>
        <v/>
      </c>
      <c r="J27" s="20">
        <f>G27+IF(ISNUMBER(H27),H27,0)</f>
        <v/>
      </c>
      <c r="K27" s="16">
        <f>MAX(0,J27-F27)</f>
        <v/>
      </c>
      <c r="L27" s="20">
        <f>MAX(0,D27-K27)</f>
        <v/>
      </c>
      <c r="M27" s="21">
        <f>IF(L27&lt;=0,0,MAX(0,ROUNDUP(-LN(1-L27*(E27/12)/Parametry!$C$7)/LN(1+E27/12),0)))</f>
        <v/>
      </c>
    </row>
    <row r="28" ht="18" customHeight="1">
      <c r="A28" s="22" t="n">
        <v>26</v>
      </c>
      <c r="B28" s="23">
        <f>DATE(Parametry!$C$12+INT((Parametry!$C$13+26-2)/12),MOD(Parametry!$C$13+26-2,12)+1,Parametry!$C$11)</f>
        <v/>
      </c>
      <c r="C28" s="24" t="n">
        <v>26</v>
      </c>
      <c r="D28" s="25">
        <f>L27</f>
        <v/>
      </c>
      <c r="E28" s="26">
        <f>IF(C28&lt;=Parametry!$C$9,Parametry!$C$8,Parametry!$C$10)</f>
        <v/>
      </c>
      <c r="F28" s="25">
        <f>D28*E28/12</f>
        <v/>
      </c>
      <c r="G28" s="25">
        <f>Parametry!$C$7</f>
        <v/>
      </c>
      <c r="H28" s="18" t="n"/>
      <c r="I28" s="19">
        <f>Parametry!$C$7</f>
        <v/>
      </c>
      <c r="J28" s="27">
        <f>G28+IF(ISNUMBER(H28),H28,0)</f>
        <v/>
      </c>
      <c r="K28" s="25">
        <f>MAX(0,J28-F28)</f>
        <v/>
      </c>
      <c r="L28" s="27">
        <f>MAX(0,D28-K28)</f>
        <v/>
      </c>
      <c r="M28" s="28">
        <f>IF(L28&lt;=0,0,MAX(0,ROUNDUP(-LN(1-L28*(E28/12)/Parametry!$C$7)/LN(1+E28/12),0)))</f>
        <v/>
      </c>
    </row>
    <row r="29" ht="18" customHeight="1">
      <c r="A29" s="13" t="n">
        <v>27</v>
      </c>
      <c r="B29" s="14">
        <f>DATE(Parametry!$C$12+INT((Parametry!$C$13+27-2)/12),MOD(Parametry!$C$13+27-2,12)+1,Parametry!$C$11)</f>
        <v/>
      </c>
      <c r="C29" s="15" t="n">
        <v>27</v>
      </c>
      <c r="D29" s="16">
        <f>L28</f>
        <v/>
      </c>
      <c r="E29" s="17">
        <f>IF(C29&lt;=Parametry!$C$9,Parametry!$C$8,Parametry!$C$10)</f>
        <v/>
      </c>
      <c r="F29" s="16">
        <f>D29*E29/12</f>
        <v/>
      </c>
      <c r="G29" s="16">
        <f>Parametry!$C$7</f>
        <v/>
      </c>
      <c r="H29" s="18" t="n"/>
      <c r="I29" s="19">
        <f>Parametry!$C$7</f>
        <v/>
      </c>
      <c r="J29" s="20">
        <f>G29+IF(ISNUMBER(H29),H29,0)</f>
        <v/>
      </c>
      <c r="K29" s="16">
        <f>MAX(0,J29-F29)</f>
        <v/>
      </c>
      <c r="L29" s="20">
        <f>MAX(0,D29-K29)</f>
        <v/>
      </c>
      <c r="M29" s="21">
        <f>IF(L29&lt;=0,0,MAX(0,ROUNDUP(-LN(1-L29*(E29/12)/Parametry!$C$7)/LN(1+E29/12),0)))</f>
        <v/>
      </c>
    </row>
    <row r="30" ht="18" customHeight="1">
      <c r="A30" s="22" t="n">
        <v>28</v>
      </c>
      <c r="B30" s="23">
        <f>DATE(Parametry!$C$12+INT((Parametry!$C$13+28-2)/12),MOD(Parametry!$C$13+28-2,12)+1,Parametry!$C$11)</f>
        <v/>
      </c>
      <c r="C30" s="24" t="n">
        <v>28</v>
      </c>
      <c r="D30" s="25">
        <f>L29</f>
        <v/>
      </c>
      <c r="E30" s="26">
        <f>IF(C30&lt;=Parametry!$C$9,Parametry!$C$8,Parametry!$C$10)</f>
        <v/>
      </c>
      <c r="F30" s="25">
        <f>D30*E30/12</f>
        <v/>
      </c>
      <c r="G30" s="25">
        <f>Parametry!$C$7</f>
        <v/>
      </c>
      <c r="H30" s="18" t="n"/>
      <c r="I30" s="19">
        <f>Parametry!$C$7</f>
        <v/>
      </c>
      <c r="J30" s="27">
        <f>G30+IF(ISNUMBER(H30),H30,0)</f>
        <v/>
      </c>
      <c r="K30" s="25">
        <f>MAX(0,J30-F30)</f>
        <v/>
      </c>
      <c r="L30" s="27">
        <f>MAX(0,D30-K30)</f>
        <v/>
      </c>
      <c r="M30" s="28">
        <f>IF(L30&lt;=0,0,MAX(0,ROUNDUP(-LN(1-L30*(E30/12)/Parametry!$C$7)/LN(1+E30/12),0)))</f>
        <v/>
      </c>
    </row>
    <row r="31" ht="18" customHeight="1">
      <c r="A31" s="13" t="n">
        <v>29</v>
      </c>
      <c r="B31" s="14">
        <f>DATE(Parametry!$C$12+INT((Parametry!$C$13+29-2)/12),MOD(Parametry!$C$13+29-2,12)+1,Parametry!$C$11)</f>
        <v/>
      </c>
      <c r="C31" s="15" t="n">
        <v>29</v>
      </c>
      <c r="D31" s="16">
        <f>L30</f>
        <v/>
      </c>
      <c r="E31" s="17">
        <f>IF(C31&lt;=Parametry!$C$9,Parametry!$C$8,Parametry!$C$10)</f>
        <v/>
      </c>
      <c r="F31" s="16">
        <f>D31*E31/12</f>
        <v/>
      </c>
      <c r="G31" s="16">
        <f>Parametry!$C$7</f>
        <v/>
      </c>
      <c r="H31" s="18" t="n"/>
      <c r="I31" s="19">
        <f>Parametry!$C$7</f>
        <v/>
      </c>
      <c r="J31" s="20">
        <f>G31+IF(ISNUMBER(H31),H31,0)</f>
        <v/>
      </c>
      <c r="K31" s="16">
        <f>MAX(0,J31-F31)</f>
        <v/>
      </c>
      <c r="L31" s="20">
        <f>MAX(0,D31-K31)</f>
        <v/>
      </c>
      <c r="M31" s="21">
        <f>IF(L31&lt;=0,0,MAX(0,ROUNDUP(-LN(1-L31*(E31/12)/Parametry!$C$7)/LN(1+E31/12),0)))</f>
        <v/>
      </c>
    </row>
    <row r="32" ht="18" customHeight="1">
      <c r="A32" s="22" t="n">
        <v>30</v>
      </c>
      <c r="B32" s="23">
        <f>DATE(Parametry!$C$12+INT((Parametry!$C$13+30-2)/12),MOD(Parametry!$C$13+30-2,12)+1,Parametry!$C$11)</f>
        <v/>
      </c>
      <c r="C32" s="24" t="n">
        <v>30</v>
      </c>
      <c r="D32" s="25">
        <f>L31</f>
        <v/>
      </c>
      <c r="E32" s="26">
        <f>IF(C32&lt;=Parametry!$C$9,Parametry!$C$8,Parametry!$C$10)</f>
        <v/>
      </c>
      <c r="F32" s="25">
        <f>D32*E32/12</f>
        <v/>
      </c>
      <c r="G32" s="25">
        <f>Parametry!$C$7</f>
        <v/>
      </c>
      <c r="H32" s="18" t="n"/>
      <c r="I32" s="19">
        <f>Parametry!$C$7</f>
        <v/>
      </c>
      <c r="J32" s="27">
        <f>G32+IF(ISNUMBER(H32),H32,0)</f>
        <v/>
      </c>
      <c r="K32" s="25">
        <f>MAX(0,J32-F32)</f>
        <v/>
      </c>
      <c r="L32" s="27">
        <f>MAX(0,D32-K32)</f>
        <v/>
      </c>
      <c r="M32" s="28">
        <f>IF(L32&lt;=0,0,MAX(0,ROUNDUP(-LN(1-L32*(E32/12)/Parametry!$C$7)/LN(1+E32/12),0)))</f>
        <v/>
      </c>
    </row>
    <row r="33" ht="18" customHeight="1">
      <c r="A33" s="13" t="n">
        <v>31</v>
      </c>
      <c r="B33" s="14">
        <f>DATE(Parametry!$C$12+INT((Parametry!$C$13+31-2)/12),MOD(Parametry!$C$13+31-2,12)+1,Parametry!$C$11)</f>
        <v/>
      </c>
      <c r="C33" s="15" t="n">
        <v>31</v>
      </c>
      <c r="D33" s="16">
        <f>L32</f>
        <v/>
      </c>
      <c r="E33" s="17">
        <f>IF(C33&lt;=Parametry!$C$9,Parametry!$C$8,Parametry!$C$10)</f>
        <v/>
      </c>
      <c r="F33" s="16">
        <f>D33*E33/12</f>
        <v/>
      </c>
      <c r="G33" s="16">
        <f>Parametry!$C$7</f>
        <v/>
      </c>
      <c r="H33" s="18" t="n"/>
      <c r="I33" s="19">
        <f>Parametry!$C$7</f>
        <v/>
      </c>
      <c r="J33" s="20">
        <f>G33+IF(ISNUMBER(H33),H33,0)</f>
        <v/>
      </c>
      <c r="K33" s="16">
        <f>MAX(0,J33-F33)</f>
        <v/>
      </c>
      <c r="L33" s="20">
        <f>MAX(0,D33-K33)</f>
        <v/>
      </c>
      <c r="M33" s="21">
        <f>IF(L33&lt;=0,0,MAX(0,ROUNDUP(-LN(1-L33*(E33/12)/Parametry!$C$7)/LN(1+E33/12),0)))</f>
        <v/>
      </c>
    </row>
    <row r="34" ht="18" customHeight="1">
      <c r="A34" s="22" t="n">
        <v>32</v>
      </c>
      <c r="B34" s="23">
        <f>DATE(Parametry!$C$12+INT((Parametry!$C$13+32-2)/12),MOD(Parametry!$C$13+32-2,12)+1,Parametry!$C$11)</f>
        <v/>
      </c>
      <c r="C34" s="24" t="n">
        <v>32</v>
      </c>
      <c r="D34" s="25">
        <f>L33</f>
        <v/>
      </c>
      <c r="E34" s="26">
        <f>IF(C34&lt;=Parametry!$C$9,Parametry!$C$8,Parametry!$C$10)</f>
        <v/>
      </c>
      <c r="F34" s="25">
        <f>D34*E34/12</f>
        <v/>
      </c>
      <c r="G34" s="25">
        <f>Parametry!$C$7</f>
        <v/>
      </c>
      <c r="H34" s="18" t="n"/>
      <c r="I34" s="19">
        <f>Parametry!$C$7</f>
        <v/>
      </c>
      <c r="J34" s="27">
        <f>G34+IF(ISNUMBER(H34),H34,0)</f>
        <v/>
      </c>
      <c r="K34" s="25">
        <f>MAX(0,J34-F34)</f>
        <v/>
      </c>
      <c r="L34" s="27">
        <f>MAX(0,D34-K34)</f>
        <v/>
      </c>
      <c r="M34" s="28">
        <f>IF(L34&lt;=0,0,MAX(0,ROUNDUP(-LN(1-L34*(E34/12)/Parametry!$C$7)/LN(1+E34/12),0)))</f>
        <v/>
      </c>
    </row>
    <row r="35" ht="18" customHeight="1">
      <c r="A35" s="13" t="n">
        <v>33</v>
      </c>
      <c r="B35" s="14">
        <f>DATE(Parametry!$C$12+INT((Parametry!$C$13+33-2)/12),MOD(Parametry!$C$13+33-2,12)+1,Parametry!$C$11)</f>
        <v/>
      </c>
      <c r="C35" s="15" t="n">
        <v>33</v>
      </c>
      <c r="D35" s="16">
        <f>L34</f>
        <v/>
      </c>
      <c r="E35" s="17">
        <f>IF(C35&lt;=Parametry!$C$9,Parametry!$C$8,Parametry!$C$10)</f>
        <v/>
      </c>
      <c r="F35" s="16">
        <f>D35*E35/12</f>
        <v/>
      </c>
      <c r="G35" s="16">
        <f>Parametry!$C$7</f>
        <v/>
      </c>
      <c r="H35" s="18" t="n"/>
      <c r="I35" s="19">
        <f>Parametry!$C$7</f>
        <v/>
      </c>
      <c r="J35" s="20">
        <f>G35+IF(ISNUMBER(H35),H35,0)</f>
        <v/>
      </c>
      <c r="K35" s="16">
        <f>MAX(0,J35-F35)</f>
        <v/>
      </c>
      <c r="L35" s="20">
        <f>MAX(0,D35-K35)</f>
        <v/>
      </c>
      <c r="M35" s="21">
        <f>IF(L35&lt;=0,0,MAX(0,ROUNDUP(-LN(1-L35*(E35/12)/Parametry!$C$7)/LN(1+E35/12),0)))</f>
        <v/>
      </c>
    </row>
    <row r="36" ht="18" customHeight="1">
      <c r="A36" s="22" t="n">
        <v>34</v>
      </c>
      <c r="B36" s="23">
        <f>DATE(Parametry!$C$12+INT((Parametry!$C$13+34-2)/12),MOD(Parametry!$C$13+34-2,12)+1,Parametry!$C$11)</f>
        <v/>
      </c>
      <c r="C36" s="24" t="n">
        <v>34</v>
      </c>
      <c r="D36" s="25">
        <f>L35</f>
        <v/>
      </c>
      <c r="E36" s="26">
        <f>IF(C36&lt;=Parametry!$C$9,Parametry!$C$8,Parametry!$C$10)</f>
        <v/>
      </c>
      <c r="F36" s="25">
        <f>D36*E36/12</f>
        <v/>
      </c>
      <c r="G36" s="25">
        <f>Parametry!$C$7</f>
        <v/>
      </c>
      <c r="H36" s="18" t="n"/>
      <c r="I36" s="19">
        <f>Parametry!$C$7</f>
        <v/>
      </c>
      <c r="J36" s="27">
        <f>G36+IF(ISNUMBER(H36),H36,0)</f>
        <v/>
      </c>
      <c r="K36" s="25">
        <f>MAX(0,J36-F36)</f>
        <v/>
      </c>
      <c r="L36" s="27">
        <f>MAX(0,D36-K36)</f>
        <v/>
      </c>
      <c r="M36" s="28">
        <f>IF(L36&lt;=0,0,MAX(0,ROUNDUP(-LN(1-L36*(E36/12)/Parametry!$C$7)/LN(1+E36/12),0)))</f>
        <v/>
      </c>
    </row>
    <row r="37" ht="18" customHeight="1">
      <c r="A37" s="13" t="n">
        <v>35</v>
      </c>
      <c r="B37" s="14">
        <f>DATE(Parametry!$C$12+INT((Parametry!$C$13+35-2)/12),MOD(Parametry!$C$13+35-2,12)+1,Parametry!$C$11)</f>
        <v/>
      </c>
      <c r="C37" s="15" t="n">
        <v>35</v>
      </c>
      <c r="D37" s="16">
        <f>L36</f>
        <v/>
      </c>
      <c r="E37" s="17">
        <f>IF(C37&lt;=Parametry!$C$9,Parametry!$C$8,Parametry!$C$10)</f>
        <v/>
      </c>
      <c r="F37" s="16">
        <f>D37*E37/12</f>
        <v/>
      </c>
      <c r="G37" s="16">
        <f>Parametry!$C$7</f>
        <v/>
      </c>
      <c r="H37" s="18" t="n"/>
      <c r="I37" s="19">
        <f>Parametry!$C$7</f>
        <v/>
      </c>
      <c r="J37" s="20">
        <f>G37+IF(ISNUMBER(H37),H37,0)</f>
        <v/>
      </c>
      <c r="K37" s="16">
        <f>MAX(0,J37-F37)</f>
        <v/>
      </c>
      <c r="L37" s="20">
        <f>MAX(0,D37-K37)</f>
        <v/>
      </c>
      <c r="M37" s="21">
        <f>IF(L37&lt;=0,0,MAX(0,ROUNDUP(-LN(1-L37*(E37/12)/Parametry!$C$7)/LN(1+E37/12),0)))</f>
        <v/>
      </c>
    </row>
    <row r="38" ht="18" customHeight="1">
      <c r="A38" s="22" t="n">
        <v>36</v>
      </c>
      <c r="B38" s="23">
        <f>DATE(Parametry!$C$12+INT((Parametry!$C$13+36-2)/12),MOD(Parametry!$C$13+36-2,12)+1,Parametry!$C$11)</f>
        <v/>
      </c>
      <c r="C38" s="24" t="n">
        <v>36</v>
      </c>
      <c r="D38" s="25">
        <f>L37</f>
        <v/>
      </c>
      <c r="E38" s="26">
        <f>IF(C38&lt;=Parametry!$C$9,Parametry!$C$8,Parametry!$C$10)</f>
        <v/>
      </c>
      <c r="F38" s="25">
        <f>D38*E38/12</f>
        <v/>
      </c>
      <c r="G38" s="25">
        <f>Parametry!$C$7</f>
        <v/>
      </c>
      <c r="H38" s="18" t="n"/>
      <c r="I38" s="19">
        <f>Parametry!$C$7</f>
        <v/>
      </c>
      <c r="J38" s="27">
        <f>G38+IF(ISNUMBER(H38),H38,0)</f>
        <v/>
      </c>
      <c r="K38" s="25">
        <f>MAX(0,J38-F38)</f>
        <v/>
      </c>
      <c r="L38" s="27">
        <f>MAX(0,D38-K38)</f>
        <v/>
      </c>
      <c r="M38" s="28">
        <f>IF(L38&lt;=0,0,MAX(0,ROUNDUP(-LN(1-L38*(E38/12)/Parametry!$C$7)/LN(1+E38/12),0)))</f>
        <v/>
      </c>
    </row>
    <row r="39" ht="18" customHeight="1">
      <c r="A39" s="13" t="n">
        <v>37</v>
      </c>
      <c r="B39" s="14">
        <f>DATE(Parametry!$C$12+INT((Parametry!$C$13+37-2)/12),MOD(Parametry!$C$13+37-2,12)+1,Parametry!$C$11)</f>
        <v/>
      </c>
      <c r="C39" s="15" t="n">
        <v>37</v>
      </c>
      <c r="D39" s="16">
        <f>L38</f>
        <v/>
      </c>
      <c r="E39" s="17">
        <f>IF(C39&lt;=Parametry!$C$9,Parametry!$C$8,Parametry!$C$10)</f>
        <v/>
      </c>
      <c r="F39" s="16">
        <f>D39*E39/12</f>
        <v/>
      </c>
      <c r="G39" s="16">
        <f>Parametry!$C$7</f>
        <v/>
      </c>
      <c r="H39" s="18" t="n"/>
      <c r="I39" s="19">
        <f>Parametry!$C$7</f>
        <v/>
      </c>
      <c r="J39" s="20">
        <f>G39+IF(ISNUMBER(H39),H39,0)</f>
        <v/>
      </c>
      <c r="K39" s="16">
        <f>MAX(0,J39-F39)</f>
        <v/>
      </c>
      <c r="L39" s="20">
        <f>MAX(0,D39-K39)</f>
        <v/>
      </c>
      <c r="M39" s="21">
        <f>IF(L39&lt;=0,0,MAX(0,ROUNDUP(-LN(1-L39*(E39/12)/Parametry!$C$7)/LN(1+E39/12),0)))</f>
        <v/>
      </c>
    </row>
    <row r="40" ht="18" customHeight="1">
      <c r="A40" s="22" t="n">
        <v>38</v>
      </c>
      <c r="B40" s="23">
        <f>DATE(Parametry!$C$12+INT((Parametry!$C$13+38-2)/12),MOD(Parametry!$C$13+38-2,12)+1,Parametry!$C$11)</f>
        <v/>
      </c>
      <c r="C40" s="24" t="n">
        <v>38</v>
      </c>
      <c r="D40" s="25">
        <f>L39</f>
        <v/>
      </c>
      <c r="E40" s="26">
        <f>IF(C40&lt;=Parametry!$C$9,Parametry!$C$8,Parametry!$C$10)</f>
        <v/>
      </c>
      <c r="F40" s="25">
        <f>D40*E40/12</f>
        <v/>
      </c>
      <c r="G40" s="25">
        <f>Parametry!$C$7</f>
        <v/>
      </c>
      <c r="H40" s="18" t="n"/>
      <c r="I40" s="19">
        <f>Parametry!$C$7</f>
        <v/>
      </c>
      <c r="J40" s="27">
        <f>G40+IF(ISNUMBER(H40),H40,0)</f>
        <v/>
      </c>
      <c r="K40" s="25">
        <f>MAX(0,J40-F40)</f>
        <v/>
      </c>
      <c r="L40" s="27">
        <f>MAX(0,D40-K40)</f>
        <v/>
      </c>
      <c r="M40" s="28">
        <f>IF(L40&lt;=0,0,MAX(0,ROUNDUP(-LN(1-L40*(E40/12)/Parametry!$C$7)/LN(1+E40/12),0)))</f>
        <v/>
      </c>
    </row>
    <row r="41" ht="18" customHeight="1">
      <c r="A41" s="13" t="n">
        <v>39</v>
      </c>
      <c r="B41" s="14">
        <f>DATE(Parametry!$C$12+INT((Parametry!$C$13+39-2)/12),MOD(Parametry!$C$13+39-2,12)+1,Parametry!$C$11)</f>
        <v/>
      </c>
      <c r="C41" s="15" t="n">
        <v>39</v>
      </c>
      <c r="D41" s="16">
        <f>L40</f>
        <v/>
      </c>
      <c r="E41" s="17">
        <f>IF(C41&lt;=Parametry!$C$9,Parametry!$C$8,Parametry!$C$10)</f>
        <v/>
      </c>
      <c r="F41" s="16">
        <f>D41*E41/12</f>
        <v/>
      </c>
      <c r="G41" s="16">
        <f>Parametry!$C$7</f>
        <v/>
      </c>
      <c r="H41" s="18" t="n"/>
      <c r="I41" s="19">
        <f>Parametry!$C$7</f>
        <v/>
      </c>
      <c r="J41" s="20">
        <f>G41+IF(ISNUMBER(H41),H41,0)</f>
        <v/>
      </c>
      <c r="K41" s="16">
        <f>MAX(0,J41-F41)</f>
        <v/>
      </c>
      <c r="L41" s="20">
        <f>MAX(0,D41-K41)</f>
        <v/>
      </c>
      <c r="M41" s="21">
        <f>IF(L41&lt;=0,0,MAX(0,ROUNDUP(-LN(1-L41*(E41/12)/Parametry!$C$7)/LN(1+E41/12),0)))</f>
        <v/>
      </c>
    </row>
    <row r="42" ht="18" customHeight="1">
      <c r="A42" s="22" t="n">
        <v>40</v>
      </c>
      <c r="B42" s="23">
        <f>DATE(Parametry!$C$12+INT((Parametry!$C$13+40-2)/12),MOD(Parametry!$C$13+40-2,12)+1,Parametry!$C$11)</f>
        <v/>
      </c>
      <c r="C42" s="24" t="n">
        <v>40</v>
      </c>
      <c r="D42" s="25">
        <f>L41</f>
        <v/>
      </c>
      <c r="E42" s="26">
        <f>IF(C42&lt;=Parametry!$C$9,Parametry!$C$8,Parametry!$C$10)</f>
        <v/>
      </c>
      <c r="F42" s="25">
        <f>D42*E42/12</f>
        <v/>
      </c>
      <c r="G42" s="25">
        <f>Parametry!$C$7</f>
        <v/>
      </c>
      <c r="H42" s="18" t="n"/>
      <c r="I42" s="19">
        <f>Parametry!$C$7</f>
        <v/>
      </c>
      <c r="J42" s="27">
        <f>G42+IF(ISNUMBER(H42),H42,0)</f>
        <v/>
      </c>
      <c r="K42" s="25">
        <f>MAX(0,J42-F42)</f>
        <v/>
      </c>
      <c r="L42" s="27">
        <f>MAX(0,D42-K42)</f>
        <v/>
      </c>
      <c r="M42" s="28">
        <f>IF(L42&lt;=0,0,MAX(0,ROUNDUP(-LN(1-L42*(E42/12)/Parametry!$C$7)/LN(1+E42/12),0)))</f>
        <v/>
      </c>
    </row>
    <row r="43" ht="18" customHeight="1">
      <c r="A43" s="13" t="n">
        <v>41</v>
      </c>
      <c r="B43" s="14">
        <f>DATE(Parametry!$C$12+INT((Parametry!$C$13+41-2)/12),MOD(Parametry!$C$13+41-2,12)+1,Parametry!$C$11)</f>
        <v/>
      </c>
      <c r="C43" s="15" t="n">
        <v>41</v>
      </c>
      <c r="D43" s="16">
        <f>L42</f>
        <v/>
      </c>
      <c r="E43" s="17">
        <f>IF(C43&lt;=Parametry!$C$9,Parametry!$C$8,Parametry!$C$10)</f>
        <v/>
      </c>
      <c r="F43" s="16">
        <f>D43*E43/12</f>
        <v/>
      </c>
      <c r="G43" s="16">
        <f>Parametry!$C$7</f>
        <v/>
      </c>
      <c r="H43" s="18" t="n"/>
      <c r="I43" s="19">
        <f>Parametry!$C$7</f>
        <v/>
      </c>
      <c r="J43" s="20">
        <f>G43+IF(ISNUMBER(H43),H43,0)</f>
        <v/>
      </c>
      <c r="K43" s="16">
        <f>MAX(0,J43-F43)</f>
        <v/>
      </c>
      <c r="L43" s="20">
        <f>MAX(0,D43-K43)</f>
        <v/>
      </c>
      <c r="M43" s="21">
        <f>IF(L43&lt;=0,0,MAX(0,ROUNDUP(-LN(1-L43*(E43/12)/Parametry!$C$7)/LN(1+E43/12),0)))</f>
        <v/>
      </c>
    </row>
    <row r="44" ht="18" customHeight="1">
      <c r="A44" s="22" t="n">
        <v>42</v>
      </c>
      <c r="B44" s="23">
        <f>DATE(Parametry!$C$12+INT((Parametry!$C$13+42-2)/12),MOD(Parametry!$C$13+42-2,12)+1,Parametry!$C$11)</f>
        <v/>
      </c>
      <c r="C44" s="24" t="n">
        <v>42</v>
      </c>
      <c r="D44" s="25">
        <f>L43</f>
        <v/>
      </c>
      <c r="E44" s="26">
        <f>IF(C44&lt;=Parametry!$C$9,Parametry!$C$8,Parametry!$C$10)</f>
        <v/>
      </c>
      <c r="F44" s="25">
        <f>D44*E44/12</f>
        <v/>
      </c>
      <c r="G44" s="25">
        <f>Parametry!$C$7</f>
        <v/>
      </c>
      <c r="H44" s="18" t="n"/>
      <c r="I44" s="19">
        <f>Parametry!$C$7</f>
        <v/>
      </c>
      <c r="J44" s="27">
        <f>G44+IF(ISNUMBER(H44),H44,0)</f>
        <v/>
      </c>
      <c r="K44" s="25">
        <f>MAX(0,J44-F44)</f>
        <v/>
      </c>
      <c r="L44" s="27">
        <f>MAX(0,D44-K44)</f>
        <v/>
      </c>
      <c r="M44" s="28">
        <f>IF(L44&lt;=0,0,MAX(0,ROUNDUP(-LN(1-L44*(E44/12)/Parametry!$C$7)/LN(1+E44/12),0)))</f>
        <v/>
      </c>
    </row>
    <row r="45" ht="18" customHeight="1">
      <c r="A45" s="13" t="n">
        <v>43</v>
      </c>
      <c r="B45" s="14">
        <f>DATE(Parametry!$C$12+INT((Parametry!$C$13+43-2)/12),MOD(Parametry!$C$13+43-2,12)+1,Parametry!$C$11)</f>
        <v/>
      </c>
      <c r="C45" s="15" t="n">
        <v>43</v>
      </c>
      <c r="D45" s="16">
        <f>L44</f>
        <v/>
      </c>
      <c r="E45" s="17">
        <f>IF(C45&lt;=Parametry!$C$9,Parametry!$C$8,Parametry!$C$10)</f>
        <v/>
      </c>
      <c r="F45" s="16">
        <f>D45*E45/12</f>
        <v/>
      </c>
      <c r="G45" s="16">
        <f>Parametry!$C$7</f>
        <v/>
      </c>
      <c r="H45" s="18" t="n"/>
      <c r="I45" s="19">
        <f>Parametry!$C$7</f>
        <v/>
      </c>
      <c r="J45" s="20">
        <f>G45+IF(ISNUMBER(H45),H45,0)</f>
        <v/>
      </c>
      <c r="K45" s="16">
        <f>MAX(0,J45-F45)</f>
        <v/>
      </c>
      <c r="L45" s="20">
        <f>MAX(0,D45-K45)</f>
        <v/>
      </c>
      <c r="M45" s="21">
        <f>IF(L45&lt;=0,0,MAX(0,ROUNDUP(-LN(1-L45*(E45/12)/Parametry!$C$7)/LN(1+E45/12),0)))</f>
        <v/>
      </c>
    </row>
    <row r="46" ht="18" customHeight="1">
      <c r="A46" s="22" t="n">
        <v>44</v>
      </c>
      <c r="B46" s="23">
        <f>DATE(Parametry!$C$12+INT((Parametry!$C$13+44-2)/12),MOD(Parametry!$C$13+44-2,12)+1,Parametry!$C$11)</f>
        <v/>
      </c>
      <c r="C46" s="24" t="n">
        <v>44</v>
      </c>
      <c r="D46" s="25">
        <f>L45</f>
        <v/>
      </c>
      <c r="E46" s="26">
        <f>IF(C46&lt;=Parametry!$C$9,Parametry!$C$8,Parametry!$C$10)</f>
        <v/>
      </c>
      <c r="F46" s="25">
        <f>D46*E46/12</f>
        <v/>
      </c>
      <c r="G46" s="25">
        <f>Parametry!$C$7</f>
        <v/>
      </c>
      <c r="H46" s="18" t="n"/>
      <c r="I46" s="19">
        <f>Parametry!$C$7</f>
        <v/>
      </c>
      <c r="J46" s="27">
        <f>G46+IF(ISNUMBER(H46),H46,0)</f>
        <v/>
      </c>
      <c r="K46" s="25">
        <f>MAX(0,J46-F46)</f>
        <v/>
      </c>
      <c r="L46" s="27">
        <f>MAX(0,D46-K46)</f>
        <v/>
      </c>
      <c r="M46" s="28">
        <f>IF(L46&lt;=0,0,MAX(0,ROUNDUP(-LN(1-L46*(E46/12)/Parametry!$C$7)/LN(1+E46/12),0)))</f>
        <v/>
      </c>
    </row>
    <row r="47" ht="18" customHeight="1">
      <c r="A47" s="13" t="n">
        <v>45</v>
      </c>
      <c r="B47" s="14">
        <f>DATE(Parametry!$C$12+INT((Parametry!$C$13+45-2)/12),MOD(Parametry!$C$13+45-2,12)+1,Parametry!$C$11)</f>
        <v/>
      </c>
      <c r="C47" s="15" t="n">
        <v>45</v>
      </c>
      <c r="D47" s="16">
        <f>L46</f>
        <v/>
      </c>
      <c r="E47" s="17">
        <f>IF(C47&lt;=Parametry!$C$9,Parametry!$C$8,Parametry!$C$10)</f>
        <v/>
      </c>
      <c r="F47" s="16">
        <f>D47*E47/12</f>
        <v/>
      </c>
      <c r="G47" s="16">
        <f>Parametry!$C$7</f>
        <v/>
      </c>
      <c r="H47" s="18" t="n"/>
      <c r="I47" s="19">
        <f>Parametry!$C$7</f>
        <v/>
      </c>
      <c r="J47" s="20">
        <f>G47+IF(ISNUMBER(H47),H47,0)</f>
        <v/>
      </c>
      <c r="K47" s="16">
        <f>MAX(0,J47-F47)</f>
        <v/>
      </c>
      <c r="L47" s="20">
        <f>MAX(0,D47-K47)</f>
        <v/>
      </c>
      <c r="M47" s="21">
        <f>IF(L47&lt;=0,0,MAX(0,ROUNDUP(-LN(1-L47*(E47/12)/Parametry!$C$7)/LN(1+E47/12),0)))</f>
        <v/>
      </c>
    </row>
    <row r="48" ht="18" customHeight="1">
      <c r="A48" s="22" t="n">
        <v>46</v>
      </c>
      <c r="B48" s="23">
        <f>DATE(Parametry!$C$12+INT((Parametry!$C$13+46-2)/12),MOD(Parametry!$C$13+46-2,12)+1,Parametry!$C$11)</f>
        <v/>
      </c>
      <c r="C48" s="24" t="n">
        <v>46</v>
      </c>
      <c r="D48" s="25">
        <f>L47</f>
        <v/>
      </c>
      <c r="E48" s="26">
        <f>IF(C48&lt;=Parametry!$C$9,Parametry!$C$8,Parametry!$C$10)</f>
        <v/>
      </c>
      <c r="F48" s="25">
        <f>D48*E48/12</f>
        <v/>
      </c>
      <c r="G48" s="25">
        <f>Parametry!$C$7</f>
        <v/>
      </c>
      <c r="H48" s="18" t="n"/>
      <c r="I48" s="19">
        <f>Parametry!$C$7</f>
        <v/>
      </c>
      <c r="J48" s="27">
        <f>G48+IF(ISNUMBER(H48),H48,0)</f>
        <v/>
      </c>
      <c r="K48" s="25">
        <f>MAX(0,J48-F48)</f>
        <v/>
      </c>
      <c r="L48" s="27">
        <f>MAX(0,D48-K48)</f>
        <v/>
      </c>
      <c r="M48" s="28">
        <f>IF(L48&lt;=0,0,MAX(0,ROUNDUP(-LN(1-L48*(E48/12)/Parametry!$C$7)/LN(1+E48/12),0)))</f>
        <v/>
      </c>
    </row>
    <row r="49" ht="18" customHeight="1">
      <c r="A49" s="13" t="n">
        <v>47</v>
      </c>
      <c r="B49" s="14">
        <f>DATE(Parametry!$C$12+INT((Parametry!$C$13+47-2)/12),MOD(Parametry!$C$13+47-2,12)+1,Parametry!$C$11)</f>
        <v/>
      </c>
      <c r="C49" s="15" t="n">
        <v>47</v>
      </c>
      <c r="D49" s="16">
        <f>L48</f>
        <v/>
      </c>
      <c r="E49" s="17">
        <f>IF(C49&lt;=Parametry!$C$9,Parametry!$C$8,Parametry!$C$10)</f>
        <v/>
      </c>
      <c r="F49" s="16">
        <f>D49*E49/12</f>
        <v/>
      </c>
      <c r="G49" s="16">
        <f>Parametry!$C$7</f>
        <v/>
      </c>
      <c r="H49" s="18" t="n"/>
      <c r="I49" s="19">
        <f>Parametry!$C$7</f>
        <v/>
      </c>
      <c r="J49" s="20">
        <f>G49+IF(ISNUMBER(H49),H49,0)</f>
        <v/>
      </c>
      <c r="K49" s="16">
        <f>MAX(0,J49-F49)</f>
        <v/>
      </c>
      <c r="L49" s="20">
        <f>MAX(0,D49-K49)</f>
        <v/>
      </c>
      <c r="M49" s="21">
        <f>IF(L49&lt;=0,0,MAX(0,ROUNDUP(-LN(1-L49*(E49/12)/Parametry!$C$7)/LN(1+E49/12),0)))</f>
        <v/>
      </c>
    </row>
    <row r="50" ht="18" customHeight="1">
      <c r="A50" s="22" t="n">
        <v>48</v>
      </c>
      <c r="B50" s="23">
        <f>DATE(Parametry!$C$12+INT((Parametry!$C$13+48-2)/12),MOD(Parametry!$C$13+48-2,12)+1,Parametry!$C$11)</f>
        <v/>
      </c>
      <c r="C50" s="24" t="n">
        <v>48</v>
      </c>
      <c r="D50" s="25">
        <f>L49</f>
        <v/>
      </c>
      <c r="E50" s="26">
        <f>IF(C50&lt;=Parametry!$C$9,Parametry!$C$8,Parametry!$C$10)</f>
        <v/>
      </c>
      <c r="F50" s="25">
        <f>D50*E50/12</f>
        <v/>
      </c>
      <c r="G50" s="25">
        <f>Parametry!$C$7</f>
        <v/>
      </c>
      <c r="H50" s="18" t="n"/>
      <c r="I50" s="19">
        <f>Parametry!$C$7</f>
        <v/>
      </c>
      <c r="J50" s="27">
        <f>G50+IF(ISNUMBER(H50),H50,0)</f>
        <v/>
      </c>
      <c r="K50" s="25">
        <f>MAX(0,J50-F50)</f>
        <v/>
      </c>
      <c r="L50" s="27">
        <f>MAX(0,D50-K50)</f>
        <v/>
      </c>
      <c r="M50" s="28">
        <f>IF(L50&lt;=0,0,MAX(0,ROUNDUP(-LN(1-L50*(E50/12)/Parametry!$C$7)/LN(1+E50/12),0)))</f>
        <v/>
      </c>
    </row>
    <row r="51" ht="18" customHeight="1">
      <c r="A51" s="13" t="n">
        <v>49</v>
      </c>
      <c r="B51" s="14">
        <f>DATE(Parametry!$C$12+INT((Parametry!$C$13+49-2)/12),MOD(Parametry!$C$13+49-2,12)+1,Parametry!$C$11)</f>
        <v/>
      </c>
      <c r="C51" s="15" t="n">
        <v>49</v>
      </c>
      <c r="D51" s="16">
        <f>L50</f>
        <v/>
      </c>
      <c r="E51" s="17">
        <f>IF(C51&lt;=Parametry!$C$9,Parametry!$C$8,Parametry!$C$10)</f>
        <v/>
      </c>
      <c r="F51" s="16">
        <f>D51*E51/12</f>
        <v/>
      </c>
      <c r="G51" s="16">
        <f>Parametry!$C$7</f>
        <v/>
      </c>
      <c r="H51" s="18" t="n"/>
      <c r="I51" s="19">
        <f>Parametry!$C$7</f>
        <v/>
      </c>
      <c r="J51" s="20">
        <f>G51+IF(ISNUMBER(H51),H51,0)</f>
        <v/>
      </c>
      <c r="K51" s="16">
        <f>MAX(0,J51-F51)</f>
        <v/>
      </c>
      <c r="L51" s="20">
        <f>MAX(0,D51-K51)</f>
        <v/>
      </c>
      <c r="M51" s="21">
        <f>IF(L51&lt;=0,0,MAX(0,ROUNDUP(-LN(1-L51*(E51/12)/Parametry!$C$7)/LN(1+E51/12),0)))</f>
        <v/>
      </c>
    </row>
    <row r="52" ht="18" customHeight="1">
      <c r="A52" s="22" t="n">
        <v>50</v>
      </c>
      <c r="B52" s="23">
        <f>DATE(Parametry!$C$12+INT((Parametry!$C$13+50-2)/12),MOD(Parametry!$C$13+50-2,12)+1,Parametry!$C$11)</f>
        <v/>
      </c>
      <c r="C52" s="24" t="n">
        <v>50</v>
      </c>
      <c r="D52" s="25">
        <f>L51</f>
        <v/>
      </c>
      <c r="E52" s="26">
        <f>IF(C52&lt;=Parametry!$C$9,Parametry!$C$8,Parametry!$C$10)</f>
        <v/>
      </c>
      <c r="F52" s="25">
        <f>D52*E52/12</f>
        <v/>
      </c>
      <c r="G52" s="25">
        <f>Parametry!$C$7</f>
        <v/>
      </c>
      <c r="H52" s="18" t="n"/>
      <c r="I52" s="19">
        <f>Parametry!$C$7</f>
        <v/>
      </c>
      <c r="J52" s="27">
        <f>G52+IF(ISNUMBER(H52),H52,0)</f>
        <v/>
      </c>
      <c r="K52" s="25">
        <f>MAX(0,J52-F52)</f>
        <v/>
      </c>
      <c r="L52" s="27">
        <f>MAX(0,D52-K52)</f>
        <v/>
      </c>
      <c r="M52" s="28">
        <f>IF(L52&lt;=0,0,MAX(0,ROUNDUP(-LN(1-L52*(E52/12)/Parametry!$C$7)/LN(1+E52/12),0)))</f>
        <v/>
      </c>
    </row>
    <row r="53" ht="18" customHeight="1">
      <c r="A53" s="13" t="n">
        <v>51</v>
      </c>
      <c r="B53" s="14">
        <f>DATE(Parametry!$C$12+INT((Parametry!$C$13+51-2)/12),MOD(Parametry!$C$13+51-2,12)+1,Parametry!$C$11)</f>
        <v/>
      </c>
      <c r="C53" s="15" t="n">
        <v>51</v>
      </c>
      <c r="D53" s="16">
        <f>L52</f>
        <v/>
      </c>
      <c r="E53" s="17">
        <f>IF(C53&lt;=Parametry!$C$9,Parametry!$C$8,Parametry!$C$10)</f>
        <v/>
      </c>
      <c r="F53" s="16">
        <f>D53*E53/12</f>
        <v/>
      </c>
      <c r="G53" s="16">
        <f>Parametry!$C$7</f>
        <v/>
      </c>
      <c r="H53" s="18" t="n"/>
      <c r="I53" s="19">
        <f>Parametry!$C$7</f>
        <v/>
      </c>
      <c r="J53" s="20">
        <f>G53+IF(ISNUMBER(H53),H53,0)</f>
        <v/>
      </c>
      <c r="K53" s="16">
        <f>MAX(0,J53-F53)</f>
        <v/>
      </c>
      <c r="L53" s="20">
        <f>MAX(0,D53-K53)</f>
        <v/>
      </c>
      <c r="M53" s="21">
        <f>IF(L53&lt;=0,0,MAX(0,ROUNDUP(-LN(1-L53*(E53/12)/Parametry!$C$7)/LN(1+E53/12),0)))</f>
        <v/>
      </c>
    </row>
    <row r="54" ht="18" customHeight="1">
      <c r="A54" s="22" t="n">
        <v>52</v>
      </c>
      <c r="B54" s="23">
        <f>DATE(Parametry!$C$12+INT((Parametry!$C$13+52-2)/12),MOD(Parametry!$C$13+52-2,12)+1,Parametry!$C$11)</f>
        <v/>
      </c>
      <c r="C54" s="24" t="n">
        <v>52</v>
      </c>
      <c r="D54" s="25">
        <f>L53</f>
        <v/>
      </c>
      <c r="E54" s="26">
        <f>IF(C54&lt;=Parametry!$C$9,Parametry!$C$8,Parametry!$C$10)</f>
        <v/>
      </c>
      <c r="F54" s="25">
        <f>D54*E54/12</f>
        <v/>
      </c>
      <c r="G54" s="25">
        <f>Parametry!$C$7</f>
        <v/>
      </c>
      <c r="H54" s="18" t="n"/>
      <c r="I54" s="19">
        <f>Parametry!$C$7</f>
        <v/>
      </c>
      <c r="J54" s="27">
        <f>G54+IF(ISNUMBER(H54),H54,0)</f>
        <v/>
      </c>
      <c r="K54" s="25">
        <f>MAX(0,J54-F54)</f>
        <v/>
      </c>
      <c r="L54" s="27">
        <f>MAX(0,D54-K54)</f>
        <v/>
      </c>
      <c r="M54" s="28">
        <f>IF(L54&lt;=0,0,MAX(0,ROUNDUP(-LN(1-L54*(E54/12)/Parametry!$C$7)/LN(1+E54/12),0)))</f>
        <v/>
      </c>
    </row>
    <row r="55" ht="18" customHeight="1">
      <c r="A55" s="13" t="n">
        <v>53</v>
      </c>
      <c r="B55" s="14">
        <f>DATE(Parametry!$C$12+INT((Parametry!$C$13+53-2)/12),MOD(Parametry!$C$13+53-2,12)+1,Parametry!$C$11)</f>
        <v/>
      </c>
      <c r="C55" s="15" t="n">
        <v>53</v>
      </c>
      <c r="D55" s="16">
        <f>L54</f>
        <v/>
      </c>
      <c r="E55" s="17">
        <f>IF(C55&lt;=Parametry!$C$9,Parametry!$C$8,Parametry!$C$10)</f>
        <v/>
      </c>
      <c r="F55" s="16">
        <f>D55*E55/12</f>
        <v/>
      </c>
      <c r="G55" s="16">
        <f>Parametry!$C$7</f>
        <v/>
      </c>
      <c r="H55" s="18" t="n"/>
      <c r="I55" s="19">
        <f>Parametry!$C$7</f>
        <v/>
      </c>
      <c r="J55" s="20">
        <f>G55+IF(ISNUMBER(H55),H55,0)</f>
        <v/>
      </c>
      <c r="K55" s="16">
        <f>MAX(0,J55-F55)</f>
        <v/>
      </c>
      <c r="L55" s="20">
        <f>MAX(0,D55-K55)</f>
        <v/>
      </c>
      <c r="M55" s="21">
        <f>IF(L55&lt;=0,0,MAX(0,ROUNDUP(-LN(1-L55*(E55/12)/Parametry!$C$7)/LN(1+E55/12),0)))</f>
        <v/>
      </c>
    </row>
    <row r="56" ht="18" customHeight="1">
      <c r="A56" s="22" t="n">
        <v>54</v>
      </c>
      <c r="B56" s="23">
        <f>DATE(Parametry!$C$12+INT((Parametry!$C$13+54-2)/12),MOD(Parametry!$C$13+54-2,12)+1,Parametry!$C$11)</f>
        <v/>
      </c>
      <c r="C56" s="24" t="n">
        <v>54</v>
      </c>
      <c r="D56" s="25">
        <f>L55</f>
        <v/>
      </c>
      <c r="E56" s="26">
        <f>IF(C56&lt;=Parametry!$C$9,Parametry!$C$8,Parametry!$C$10)</f>
        <v/>
      </c>
      <c r="F56" s="25">
        <f>D56*E56/12</f>
        <v/>
      </c>
      <c r="G56" s="25">
        <f>Parametry!$C$7</f>
        <v/>
      </c>
      <c r="H56" s="18" t="n"/>
      <c r="I56" s="19">
        <f>Parametry!$C$7</f>
        <v/>
      </c>
      <c r="J56" s="27">
        <f>G56+IF(ISNUMBER(H56),H56,0)</f>
        <v/>
      </c>
      <c r="K56" s="25">
        <f>MAX(0,J56-F56)</f>
        <v/>
      </c>
      <c r="L56" s="27">
        <f>MAX(0,D56-K56)</f>
        <v/>
      </c>
      <c r="M56" s="28">
        <f>IF(L56&lt;=0,0,MAX(0,ROUNDUP(-LN(1-L56*(E56/12)/Parametry!$C$7)/LN(1+E56/12),0)))</f>
        <v/>
      </c>
    </row>
    <row r="57" ht="18" customHeight="1">
      <c r="A57" s="13" t="n">
        <v>55</v>
      </c>
      <c r="B57" s="14">
        <f>DATE(Parametry!$C$12+INT((Parametry!$C$13+55-2)/12),MOD(Parametry!$C$13+55-2,12)+1,Parametry!$C$11)</f>
        <v/>
      </c>
      <c r="C57" s="15" t="n">
        <v>55</v>
      </c>
      <c r="D57" s="16">
        <f>L56</f>
        <v/>
      </c>
      <c r="E57" s="17">
        <f>IF(C57&lt;=Parametry!$C$9,Parametry!$C$8,Parametry!$C$10)</f>
        <v/>
      </c>
      <c r="F57" s="16">
        <f>D57*E57/12</f>
        <v/>
      </c>
      <c r="G57" s="16">
        <f>Parametry!$C$7</f>
        <v/>
      </c>
      <c r="H57" s="18" t="n"/>
      <c r="I57" s="19">
        <f>Parametry!$C$7</f>
        <v/>
      </c>
      <c r="J57" s="20">
        <f>G57+IF(ISNUMBER(H57),H57,0)</f>
        <v/>
      </c>
      <c r="K57" s="16">
        <f>MAX(0,J57-F57)</f>
        <v/>
      </c>
      <c r="L57" s="20">
        <f>MAX(0,D57-K57)</f>
        <v/>
      </c>
      <c r="M57" s="21">
        <f>IF(L57&lt;=0,0,MAX(0,ROUNDUP(-LN(1-L57*(E57/12)/Parametry!$C$7)/LN(1+E57/12),0)))</f>
        <v/>
      </c>
    </row>
    <row r="58" ht="18" customHeight="1">
      <c r="A58" s="22" t="n">
        <v>56</v>
      </c>
      <c r="B58" s="23">
        <f>DATE(Parametry!$C$12+INT((Parametry!$C$13+56-2)/12),MOD(Parametry!$C$13+56-2,12)+1,Parametry!$C$11)</f>
        <v/>
      </c>
      <c r="C58" s="24" t="n">
        <v>56</v>
      </c>
      <c r="D58" s="25">
        <f>L57</f>
        <v/>
      </c>
      <c r="E58" s="26">
        <f>IF(C58&lt;=Parametry!$C$9,Parametry!$C$8,Parametry!$C$10)</f>
        <v/>
      </c>
      <c r="F58" s="25">
        <f>D58*E58/12</f>
        <v/>
      </c>
      <c r="G58" s="25">
        <f>Parametry!$C$7</f>
        <v/>
      </c>
      <c r="H58" s="18" t="n"/>
      <c r="I58" s="19">
        <f>Parametry!$C$7</f>
        <v/>
      </c>
      <c r="J58" s="27">
        <f>G58+IF(ISNUMBER(H58),H58,0)</f>
        <v/>
      </c>
      <c r="K58" s="25">
        <f>MAX(0,J58-F58)</f>
        <v/>
      </c>
      <c r="L58" s="27">
        <f>MAX(0,D58-K58)</f>
        <v/>
      </c>
      <c r="M58" s="28">
        <f>IF(L58&lt;=0,0,MAX(0,ROUNDUP(-LN(1-L58*(E58/12)/Parametry!$C$7)/LN(1+E58/12),0)))</f>
        <v/>
      </c>
    </row>
    <row r="59" ht="18" customHeight="1">
      <c r="A59" s="13" t="n">
        <v>57</v>
      </c>
      <c r="B59" s="14">
        <f>DATE(Parametry!$C$12+INT((Parametry!$C$13+57-2)/12),MOD(Parametry!$C$13+57-2,12)+1,Parametry!$C$11)</f>
        <v/>
      </c>
      <c r="C59" s="15" t="n">
        <v>57</v>
      </c>
      <c r="D59" s="16">
        <f>L58</f>
        <v/>
      </c>
      <c r="E59" s="17">
        <f>IF(C59&lt;=Parametry!$C$9,Parametry!$C$8,Parametry!$C$10)</f>
        <v/>
      </c>
      <c r="F59" s="16">
        <f>D59*E59/12</f>
        <v/>
      </c>
      <c r="G59" s="16">
        <f>Parametry!$C$7</f>
        <v/>
      </c>
      <c r="H59" s="18" t="n"/>
      <c r="I59" s="19">
        <f>Parametry!$C$7</f>
        <v/>
      </c>
      <c r="J59" s="20">
        <f>G59+IF(ISNUMBER(H59),H59,0)</f>
        <v/>
      </c>
      <c r="K59" s="16">
        <f>MAX(0,J59-F59)</f>
        <v/>
      </c>
      <c r="L59" s="20">
        <f>MAX(0,D59-K59)</f>
        <v/>
      </c>
      <c r="M59" s="21">
        <f>IF(L59&lt;=0,0,MAX(0,ROUNDUP(-LN(1-L59*(E59/12)/Parametry!$C$7)/LN(1+E59/12),0)))</f>
        <v/>
      </c>
    </row>
    <row r="60" ht="18" customHeight="1">
      <c r="A60" s="22" t="n">
        <v>58</v>
      </c>
      <c r="B60" s="23">
        <f>DATE(Parametry!$C$12+INT((Parametry!$C$13+58-2)/12),MOD(Parametry!$C$13+58-2,12)+1,Parametry!$C$11)</f>
        <v/>
      </c>
      <c r="C60" s="24" t="n">
        <v>58</v>
      </c>
      <c r="D60" s="25">
        <f>L59</f>
        <v/>
      </c>
      <c r="E60" s="26">
        <f>IF(C60&lt;=Parametry!$C$9,Parametry!$C$8,Parametry!$C$10)</f>
        <v/>
      </c>
      <c r="F60" s="25">
        <f>D60*E60/12</f>
        <v/>
      </c>
      <c r="G60" s="25">
        <f>Parametry!$C$7</f>
        <v/>
      </c>
      <c r="H60" s="18" t="n"/>
      <c r="I60" s="19">
        <f>Parametry!$C$7</f>
        <v/>
      </c>
      <c r="J60" s="27">
        <f>G60+IF(ISNUMBER(H60),H60,0)</f>
        <v/>
      </c>
      <c r="K60" s="25">
        <f>MAX(0,J60-F60)</f>
        <v/>
      </c>
      <c r="L60" s="27">
        <f>MAX(0,D60-K60)</f>
        <v/>
      </c>
      <c r="M60" s="28">
        <f>IF(L60&lt;=0,0,MAX(0,ROUNDUP(-LN(1-L60*(E60/12)/Parametry!$C$7)/LN(1+E60/12),0)))</f>
        <v/>
      </c>
    </row>
    <row r="61" ht="18" customHeight="1">
      <c r="A61" s="13" t="n">
        <v>59</v>
      </c>
      <c r="B61" s="14">
        <f>DATE(Parametry!$C$12+INT((Parametry!$C$13+59-2)/12),MOD(Parametry!$C$13+59-2,12)+1,Parametry!$C$11)</f>
        <v/>
      </c>
      <c r="C61" s="15" t="n">
        <v>59</v>
      </c>
      <c r="D61" s="16">
        <f>L60</f>
        <v/>
      </c>
      <c r="E61" s="17">
        <f>IF(C61&lt;=Parametry!$C$9,Parametry!$C$8,Parametry!$C$10)</f>
        <v/>
      </c>
      <c r="F61" s="16">
        <f>D61*E61/12</f>
        <v/>
      </c>
      <c r="G61" s="16">
        <f>Parametry!$C$7</f>
        <v/>
      </c>
      <c r="H61" s="18" t="n"/>
      <c r="I61" s="19">
        <f>Parametry!$C$7</f>
        <v/>
      </c>
      <c r="J61" s="20">
        <f>G61+IF(ISNUMBER(H61),H61,0)</f>
        <v/>
      </c>
      <c r="K61" s="16">
        <f>MAX(0,J61-F61)</f>
        <v/>
      </c>
      <c r="L61" s="20">
        <f>MAX(0,D61-K61)</f>
        <v/>
      </c>
      <c r="M61" s="21">
        <f>IF(L61&lt;=0,0,MAX(0,ROUNDUP(-LN(1-L61*(E61/12)/Parametry!$C$7)/LN(1+E61/12),0)))</f>
        <v/>
      </c>
    </row>
    <row r="62" ht="18" customHeight="1">
      <c r="A62" s="22" t="n">
        <v>60</v>
      </c>
      <c r="B62" s="23">
        <f>DATE(Parametry!$C$12+INT((Parametry!$C$13+60-2)/12),MOD(Parametry!$C$13+60-2,12)+1,Parametry!$C$11)</f>
        <v/>
      </c>
      <c r="C62" s="24" t="n">
        <v>60</v>
      </c>
      <c r="D62" s="25">
        <f>L61</f>
        <v/>
      </c>
      <c r="E62" s="26">
        <f>IF(C62&lt;=Parametry!$C$9,Parametry!$C$8,Parametry!$C$10)</f>
        <v/>
      </c>
      <c r="F62" s="25">
        <f>D62*E62/12</f>
        <v/>
      </c>
      <c r="G62" s="25">
        <f>Parametry!$C$7</f>
        <v/>
      </c>
      <c r="H62" s="18" t="n"/>
      <c r="I62" s="19">
        <f>Parametry!$C$7</f>
        <v/>
      </c>
      <c r="J62" s="27">
        <f>G62+IF(ISNUMBER(H62),H62,0)</f>
        <v/>
      </c>
      <c r="K62" s="25">
        <f>MAX(0,J62-F62)</f>
        <v/>
      </c>
      <c r="L62" s="27">
        <f>MAX(0,D62-K62)</f>
        <v/>
      </c>
      <c r="M62" s="28">
        <f>IF(L62&lt;=0,0,MAX(0,ROUNDUP(-LN(1-L62*(E62/12)/Parametry!$C$7)/LN(1+E62/12),0)))</f>
        <v/>
      </c>
    </row>
    <row r="63" ht="18" customHeight="1">
      <c r="A63" s="13" t="n">
        <v>61</v>
      </c>
      <c r="B63" s="14">
        <f>DATE(Parametry!$C$12+INT((Parametry!$C$13+61-2)/12),MOD(Parametry!$C$13+61-2,12)+1,Parametry!$C$11)</f>
        <v/>
      </c>
      <c r="C63" s="15" t="n">
        <v>61</v>
      </c>
      <c r="D63" s="16">
        <f>L62</f>
        <v/>
      </c>
      <c r="E63" s="17">
        <f>IF(C63&lt;=Parametry!$C$9,Parametry!$C$8,Parametry!$C$10)</f>
        <v/>
      </c>
      <c r="F63" s="16">
        <f>D63*E63/12</f>
        <v/>
      </c>
      <c r="G63" s="16">
        <f>Parametry!$C$7</f>
        <v/>
      </c>
      <c r="H63" s="18" t="n"/>
      <c r="I63" s="19">
        <f>Parametry!$C$7</f>
        <v/>
      </c>
      <c r="J63" s="20">
        <f>G63+IF(ISNUMBER(H63),H63,0)</f>
        <v/>
      </c>
      <c r="K63" s="16">
        <f>MAX(0,J63-F63)</f>
        <v/>
      </c>
      <c r="L63" s="20">
        <f>MAX(0,D63-K63)</f>
        <v/>
      </c>
      <c r="M63" s="21">
        <f>IF(L63&lt;=0,0,MAX(0,ROUNDUP(-LN(1-L63*(E63/12)/Parametry!$C$7)/LN(1+E63/12),0)))</f>
        <v/>
      </c>
    </row>
    <row r="64" ht="18" customHeight="1">
      <c r="A64" s="22" t="n">
        <v>62</v>
      </c>
      <c r="B64" s="23">
        <f>DATE(Parametry!$C$12+INT((Parametry!$C$13+62-2)/12),MOD(Parametry!$C$13+62-2,12)+1,Parametry!$C$11)</f>
        <v/>
      </c>
      <c r="C64" s="24" t="n">
        <v>62</v>
      </c>
      <c r="D64" s="25">
        <f>L63</f>
        <v/>
      </c>
      <c r="E64" s="26">
        <f>IF(C64&lt;=Parametry!$C$9,Parametry!$C$8,Parametry!$C$10)</f>
        <v/>
      </c>
      <c r="F64" s="25">
        <f>D64*E64/12</f>
        <v/>
      </c>
      <c r="G64" s="25">
        <f>Parametry!$C$7</f>
        <v/>
      </c>
      <c r="H64" s="18" t="n"/>
      <c r="I64" s="19">
        <f>Parametry!$C$7</f>
        <v/>
      </c>
      <c r="J64" s="27">
        <f>G64+IF(ISNUMBER(H64),H64,0)</f>
        <v/>
      </c>
      <c r="K64" s="25">
        <f>MAX(0,J64-F64)</f>
        <v/>
      </c>
      <c r="L64" s="27">
        <f>MAX(0,D64-K64)</f>
        <v/>
      </c>
      <c r="M64" s="28">
        <f>IF(L64&lt;=0,0,MAX(0,ROUNDUP(-LN(1-L64*(E64/12)/Parametry!$C$7)/LN(1+E64/12),0)))</f>
        <v/>
      </c>
    </row>
    <row r="65" ht="18" customHeight="1">
      <c r="A65" s="13" t="n">
        <v>63</v>
      </c>
      <c r="B65" s="14">
        <f>DATE(Parametry!$C$12+INT((Parametry!$C$13+63-2)/12),MOD(Parametry!$C$13+63-2,12)+1,Parametry!$C$11)</f>
        <v/>
      </c>
      <c r="C65" s="15" t="n">
        <v>63</v>
      </c>
      <c r="D65" s="16">
        <f>L64</f>
        <v/>
      </c>
      <c r="E65" s="17">
        <f>IF(C65&lt;=Parametry!$C$9,Parametry!$C$8,Parametry!$C$10)</f>
        <v/>
      </c>
      <c r="F65" s="16">
        <f>D65*E65/12</f>
        <v/>
      </c>
      <c r="G65" s="16">
        <f>Parametry!$C$7</f>
        <v/>
      </c>
      <c r="H65" s="18" t="n"/>
      <c r="I65" s="19">
        <f>Parametry!$C$7</f>
        <v/>
      </c>
      <c r="J65" s="20">
        <f>G65+IF(ISNUMBER(H65),H65,0)</f>
        <v/>
      </c>
      <c r="K65" s="16">
        <f>MAX(0,J65-F65)</f>
        <v/>
      </c>
      <c r="L65" s="20">
        <f>MAX(0,D65-K65)</f>
        <v/>
      </c>
      <c r="M65" s="21">
        <f>IF(L65&lt;=0,0,MAX(0,ROUNDUP(-LN(1-L65*(E65/12)/Parametry!$C$7)/LN(1+E65/12),0)))</f>
        <v/>
      </c>
    </row>
    <row r="66" ht="18" customHeight="1">
      <c r="A66" s="22" t="n">
        <v>64</v>
      </c>
      <c r="B66" s="23">
        <f>DATE(Parametry!$C$12+INT((Parametry!$C$13+64-2)/12),MOD(Parametry!$C$13+64-2,12)+1,Parametry!$C$11)</f>
        <v/>
      </c>
      <c r="C66" s="24" t="n">
        <v>64</v>
      </c>
      <c r="D66" s="25">
        <f>L65</f>
        <v/>
      </c>
      <c r="E66" s="26">
        <f>IF(C66&lt;=Parametry!$C$9,Parametry!$C$8,Parametry!$C$10)</f>
        <v/>
      </c>
      <c r="F66" s="25">
        <f>D66*E66/12</f>
        <v/>
      </c>
      <c r="G66" s="25">
        <f>Parametry!$C$7</f>
        <v/>
      </c>
      <c r="H66" s="18" t="n"/>
      <c r="I66" s="19">
        <f>Parametry!$C$7</f>
        <v/>
      </c>
      <c r="J66" s="27">
        <f>G66+IF(ISNUMBER(H66),H66,0)</f>
        <v/>
      </c>
      <c r="K66" s="25">
        <f>MAX(0,J66-F66)</f>
        <v/>
      </c>
      <c r="L66" s="27">
        <f>MAX(0,D66-K66)</f>
        <v/>
      </c>
      <c r="M66" s="28">
        <f>IF(L66&lt;=0,0,MAX(0,ROUNDUP(-LN(1-L66*(E66/12)/Parametry!$C$7)/LN(1+E66/12),0)))</f>
        <v/>
      </c>
    </row>
    <row r="67" ht="18" customHeight="1">
      <c r="A67" s="13" t="n">
        <v>65</v>
      </c>
      <c r="B67" s="14">
        <f>DATE(Parametry!$C$12+INT((Parametry!$C$13+65-2)/12),MOD(Parametry!$C$13+65-2,12)+1,Parametry!$C$11)</f>
        <v/>
      </c>
      <c r="C67" s="15" t="n">
        <v>65</v>
      </c>
      <c r="D67" s="16">
        <f>L66</f>
        <v/>
      </c>
      <c r="E67" s="17">
        <f>IF(C67&lt;=Parametry!$C$9,Parametry!$C$8,Parametry!$C$10)</f>
        <v/>
      </c>
      <c r="F67" s="16">
        <f>D67*E67/12</f>
        <v/>
      </c>
      <c r="G67" s="16">
        <f>Parametry!$C$7</f>
        <v/>
      </c>
      <c r="H67" s="18" t="n"/>
      <c r="I67" s="19">
        <f>Parametry!$C$7</f>
        <v/>
      </c>
      <c r="J67" s="20">
        <f>G67+IF(ISNUMBER(H67),H67,0)</f>
        <v/>
      </c>
      <c r="K67" s="16">
        <f>MAX(0,J67-F67)</f>
        <v/>
      </c>
      <c r="L67" s="20">
        <f>MAX(0,D67-K67)</f>
        <v/>
      </c>
      <c r="M67" s="21">
        <f>IF(L67&lt;=0,0,MAX(0,ROUNDUP(-LN(1-L67*(E67/12)/Parametry!$C$7)/LN(1+E67/12),0)))</f>
        <v/>
      </c>
    </row>
    <row r="68" ht="18" customHeight="1">
      <c r="A68" s="22" t="n">
        <v>66</v>
      </c>
      <c r="B68" s="23">
        <f>DATE(Parametry!$C$12+INT((Parametry!$C$13+66-2)/12),MOD(Parametry!$C$13+66-2,12)+1,Parametry!$C$11)</f>
        <v/>
      </c>
      <c r="C68" s="24" t="n">
        <v>66</v>
      </c>
      <c r="D68" s="25">
        <f>L67</f>
        <v/>
      </c>
      <c r="E68" s="26">
        <f>IF(C68&lt;=Parametry!$C$9,Parametry!$C$8,Parametry!$C$10)</f>
        <v/>
      </c>
      <c r="F68" s="25">
        <f>D68*E68/12</f>
        <v/>
      </c>
      <c r="G68" s="25">
        <f>Parametry!$C$7</f>
        <v/>
      </c>
      <c r="H68" s="18" t="n"/>
      <c r="I68" s="19">
        <f>Parametry!$C$7</f>
        <v/>
      </c>
      <c r="J68" s="27">
        <f>G68+IF(ISNUMBER(H68),H68,0)</f>
        <v/>
      </c>
      <c r="K68" s="25">
        <f>MAX(0,J68-F68)</f>
        <v/>
      </c>
      <c r="L68" s="27">
        <f>MAX(0,D68-K68)</f>
        <v/>
      </c>
      <c r="M68" s="28">
        <f>IF(L68&lt;=0,0,MAX(0,ROUNDUP(-LN(1-L68*(E68/12)/Parametry!$C$7)/LN(1+E68/12),0)))</f>
        <v/>
      </c>
    </row>
    <row r="69" ht="18" customHeight="1">
      <c r="A69" s="13" t="n">
        <v>67</v>
      </c>
      <c r="B69" s="14">
        <f>DATE(Parametry!$C$12+INT((Parametry!$C$13+67-2)/12),MOD(Parametry!$C$13+67-2,12)+1,Parametry!$C$11)</f>
        <v/>
      </c>
      <c r="C69" s="15" t="n">
        <v>67</v>
      </c>
      <c r="D69" s="16">
        <f>L68</f>
        <v/>
      </c>
      <c r="E69" s="17">
        <f>IF(C69&lt;=Parametry!$C$9,Parametry!$C$8,Parametry!$C$10)</f>
        <v/>
      </c>
      <c r="F69" s="16">
        <f>D69*E69/12</f>
        <v/>
      </c>
      <c r="G69" s="16">
        <f>Parametry!$C$7</f>
        <v/>
      </c>
      <c r="H69" s="18" t="n"/>
      <c r="I69" s="19">
        <f>Parametry!$C$7</f>
        <v/>
      </c>
      <c r="J69" s="20">
        <f>G69+IF(ISNUMBER(H69),H69,0)</f>
        <v/>
      </c>
      <c r="K69" s="16">
        <f>MAX(0,J69-F69)</f>
        <v/>
      </c>
      <c r="L69" s="20">
        <f>MAX(0,D69-K69)</f>
        <v/>
      </c>
      <c r="M69" s="21">
        <f>IF(L69&lt;=0,0,MAX(0,ROUNDUP(-LN(1-L69*(E69/12)/Parametry!$C$7)/LN(1+E69/12),0)))</f>
        <v/>
      </c>
    </row>
    <row r="70" ht="18" customHeight="1">
      <c r="A70" s="22" t="n">
        <v>68</v>
      </c>
      <c r="B70" s="23">
        <f>DATE(Parametry!$C$12+INT((Parametry!$C$13+68-2)/12),MOD(Parametry!$C$13+68-2,12)+1,Parametry!$C$11)</f>
        <v/>
      </c>
      <c r="C70" s="24" t="n">
        <v>68</v>
      </c>
      <c r="D70" s="25">
        <f>L69</f>
        <v/>
      </c>
      <c r="E70" s="26">
        <f>IF(C70&lt;=Parametry!$C$9,Parametry!$C$8,Parametry!$C$10)</f>
        <v/>
      </c>
      <c r="F70" s="25">
        <f>D70*E70/12</f>
        <v/>
      </c>
      <c r="G70" s="25">
        <f>Parametry!$C$7</f>
        <v/>
      </c>
      <c r="H70" s="18" t="n"/>
      <c r="I70" s="19">
        <f>Parametry!$C$7</f>
        <v/>
      </c>
      <c r="J70" s="27">
        <f>G70+IF(ISNUMBER(H70),H70,0)</f>
        <v/>
      </c>
      <c r="K70" s="25">
        <f>MAX(0,J70-F70)</f>
        <v/>
      </c>
      <c r="L70" s="27">
        <f>MAX(0,D70-K70)</f>
        <v/>
      </c>
      <c r="M70" s="28">
        <f>IF(L70&lt;=0,0,MAX(0,ROUNDUP(-LN(1-L70*(E70/12)/Parametry!$C$7)/LN(1+E70/12),0)))</f>
        <v/>
      </c>
    </row>
    <row r="71" ht="18" customHeight="1">
      <c r="A71" s="13" t="n">
        <v>69</v>
      </c>
      <c r="B71" s="14">
        <f>DATE(Parametry!$C$12+INT((Parametry!$C$13+69-2)/12),MOD(Parametry!$C$13+69-2,12)+1,Parametry!$C$11)</f>
        <v/>
      </c>
      <c r="C71" s="15" t="n">
        <v>69</v>
      </c>
      <c r="D71" s="16">
        <f>L70</f>
        <v/>
      </c>
      <c r="E71" s="17">
        <f>IF(C71&lt;=Parametry!$C$9,Parametry!$C$8,Parametry!$C$10)</f>
        <v/>
      </c>
      <c r="F71" s="16">
        <f>D71*E71/12</f>
        <v/>
      </c>
      <c r="G71" s="16">
        <f>Parametry!$C$7</f>
        <v/>
      </c>
      <c r="H71" s="18" t="n"/>
      <c r="I71" s="19">
        <f>Parametry!$C$7</f>
        <v/>
      </c>
      <c r="J71" s="20">
        <f>G71+IF(ISNUMBER(H71),H71,0)</f>
        <v/>
      </c>
      <c r="K71" s="16">
        <f>MAX(0,J71-F71)</f>
        <v/>
      </c>
      <c r="L71" s="20">
        <f>MAX(0,D71-K71)</f>
        <v/>
      </c>
      <c r="M71" s="21">
        <f>IF(L71&lt;=0,0,MAX(0,ROUNDUP(-LN(1-L71*(E71/12)/Parametry!$C$7)/LN(1+E71/12),0)))</f>
        <v/>
      </c>
    </row>
    <row r="72" ht="18" customHeight="1">
      <c r="A72" s="22" t="n">
        <v>70</v>
      </c>
      <c r="B72" s="23">
        <f>DATE(Parametry!$C$12+INT((Parametry!$C$13+70-2)/12),MOD(Parametry!$C$13+70-2,12)+1,Parametry!$C$11)</f>
        <v/>
      </c>
      <c r="C72" s="24" t="n">
        <v>70</v>
      </c>
      <c r="D72" s="25">
        <f>L71</f>
        <v/>
      </c>
      <c r="E72" s="26">
        <f>IF(C72&lt;=Parametry!$C$9,Parametry!$C$8,Parametry!$C$10)</f>
        <v/>
      </c>
      <c r="F72" s="25">
        <f>D72*E72/12</f>
        <v/>
      </c>
      <c r="G72" s="25">
        <f>Parametry!$C$7</f>
        <v/>
      </c>
      <c r="H72" s="18" t="n"/>
      <c r="I72" s="19">
        <f>Parametry!$C$7</f>
        <v/>
      </c>
      <c r="J72" s="27">
        <f>G72+IF(ISNUMBER(H72),H72,0)</f>
        <v/>
      </c>
      <c r="K72" s="25">
        <f>MAX(0,J72-F72)</f>
        <v/>
      </c>
      <c r="L72" s="27">
        <f>MAX(0,D72-K72)</f>
        <v/>
      </c>
      <c r="M72" s="28">
        <f>IF(L72&lt;=0,0,MAX(0,ROUNDUP(-LN(1-L72*(E72/12)/Parametry!$C$7)/LN(1+E72/12),0)))</f>
        <v/>
      </c>
    </row>
    <row r="73" ht="18" customHeight="1">
      <c r="A73" s="13" t="n">
        <v>71</v>
      </c>
      <c r="B73" s="14">
        <f>DATE(Parametry!$C$12+INT((Parametry!$C$13+71-2)/12),MOD(Parametry!$C$13+71-2,12)+1,Parametry!$C$11)</f>
        <v/>
      </c>
      <c r="C73" s="15" t="n">
        <v>71</v>
      </c>
      <c r="D73" s="16">
        <f>L72</f>
        <v/>
      </c>
      <c r="E73" s="17">
        <f>IF(C73&lt;=Parametry!$C$9,Parametry!$C$8,Parametry!$C$10)</f>
        <v/>
      </c>
      <c r="F73" s="16">
        <f>D73*E73/12</f>
        <v/>
      </c>
      <c r="G73" s="16">
        <f>Parametry!$C$7</f>
        <v/>
      </c>
      <c r="H73" s="18" t="n"/>
      <c r="I73" s="19">
        <f>Parametry!$C$7</f>
        <v/>
      </c>
      <c r="J73" s="20">
        <f>G73+IF(ISNUMBER(H73),H73,0)</f>
        <v/>
      </c>
      <c r="K73" s="16">
        <f>MAX(0,J73-F73)</f>
        <v/>
      </c>
      <c r="L73" s="20">
        <f>MAX(0,D73-K73)</f>
        <v/>
      </c>
      <c r="M73" s="21">
        <f>IF(L73&lt;=0,0,MAX(0,ROUNDUP(-LN(1-L73*(E73/12)/Parametry!$C$7)/LN(1+E73/12),0)))</f>
        <v/>
      </c>
    </row>
    <row r="74" ht="18" customHeight="1">
      <c r="A74" s="22" t="n">
        <v>72</v>
      </c>
      <c r="B74" s="23">
        <f>DATE(Parametry!$C$12+INT((Parametry!$C$13+72-2)/12),MOD(Parametry!$C$13+72-2,12)+1,Parametry!$C$11)</f>
        <v/>
      </c>
      <c r="C74" s="24" t="n">
        <v>72</v>
      </c>
      <c r="D74" s="25">
        <f>L73</f>
        <v/>
      </c>
      <c r="E74" s="26">
        <f>IF(C74&lt;=Parametry!$C$9,Parametry!$C$8,Parametry!$C$10)</f>
        <v/>
      </c>
      <c r="F74" s="25">
        <f>D74*E74/12</f>
        <v/>
      </c>
      <c r="G74" s="25">
        <f>Parametry!$C$7</f>
        <v/>
      </c>
      <c r="H74" s="18" t="n"/>
      <c r="I74" s="19">
        <f>Parametry!$C$7</f>
        <v/>
      </c>
      <c r="J74" s="27">
        <f>G74+IF(ISNUMBER(H74),H74,0)</f>
        <v/>
      </c>
      <c r="K74" s="25">
        <f>MAX(0,J74-F74)</f>
        <v/>
      </c>
      <c r="L74" s="27">
        <f>MAX(0,D74-K74)</f>
        <v/>
      </c>
      <c r="M74" s="28">
        <f>IF(L74&lt;=0,0,MAX(0,ROUNDUP(-LN(1-L74*(E74/12)/Parametry!$C$7)/LN(1+E74/12),0)))</f>
        <v/>
      </c>
    </row>
    <row r="75" ht="18" customHeight="1">
      <c r="A75" s="13" t="n">
        <v>73</v>
      </c>
      <c r="B75" s="14">
        <f>DATE(Parametry!$C$12+INT((Parametry!$C$13+73-2)/12),MOD(Parametry!$C$13+73-2,12)+1,Parametry!$C$11)</f>
        <v/>
      </c>
      <c r="C75" s="15" t="n">
        <v>73</v>
      </c>
      <c r="D75" s="16">
        <f>L74</f>
        <v/>
      </c>
      <c r="E75" s="17">
        <f>IF(C75&lt;=Parametry!$C$9,Parametry!$C$8,Parametry!$C$10)</f>
        <v/>
      </c>
      <c r="F75" s="16">
        <f>D75*E75/12</f>
        <v/>
      </c>
      <c r="G75" s="16">
        <f>Parametry!$C$7</f>
        <v/>
      </c>
      <c r="H75" s="18" t="n"/>
      <c r="I75" s="19">
        <f>Parametry!$C$7</f>
        <v/>
      </c>
      <c r="J75" s="20">
        <f>G75+IF(ISNUMBER(H75),H75,0)</f>
        <v/>
      </c>
      <c r="K75" s="16">
        <f>MAX(0,J75-F75)</f>
        <v/>
      </c>
      <c r="L75" s="20">
        <f>MAX(0,D75-K75)</f>
        <v/>
      </c>
      <c r="M75" s="21">
        <f>IF(L75&lt;=0,0,MAX(0,ROUNDUP(-LN(1-L75*(E75/12)/Parametry!$C$7)/LN(1+E75/12),0)))</f>
        <v/>
      </c>
    </row>
    <row r="76" ht="18" customHeight="1">
      <c r="A76" s="22" t="n">
        <v>74</v>
      </c>
      <c r="B76" s="23">
        <f>DATE(Parametry!$C$12+INT((Parametry!$C$13+74-2)/12),MOD(Parametry!$C$13+74-2,12)+1,Parametry!$C$11)</f>
        <v/>
      </c>
      <c r="C76" s="24" t="n">
        <v>74</v>
      </c>
      <c r="D76" s="25">
        <f>L75</f>
        <v/>
      </c>
      <c r="E76" s="26">
        <f>IF(C76&lt;=Parametry!$C$9,Parametry!$C$8,Parametry!$C$10)</f>
        <v/>
      </c>
      <c r="F76" s="25">
        <f>D76*E76/12</f>
        <v/>
      </c>
      <c r="G76" s="25">
        <f>Parametry!$C$7</f>
        <v/>
      </c>
      <c r="H76" s="18" t="n"/>
      <c r="I76" s="19">
        <f>Parametry!$C$7</f>
        <v/>
      </c>
      <c r="J76" s="27">
        <f>G76+IF(ISNUMBER(H76),H76,0)</f>
        <v/>
      </c>
      <c r="K76" s="25">
        <f>MAX(0,J76-F76)</f>
        <v/>
      </c>
      <c r="L76" s="27">
        <f>MAX(0,D76-K76)</f>
        <v/>
      </c>
      <c r="M76" s="28">
        <f>IF(L76&lt;=0,0,MAX(0,ROUNDUP(-LN(1-L76*(E76/12)/Parametry!$C$7)/LN(1+E76/12),0)))</f>
        <v/>
      </c>
    </row>
    <row r="77" ht="18" customHeight="1">
      <c r="A77" s="13" t="n">
        <v>75</v>
      </c>
      <c r="B77" s="14">
        <f>DATE(Parametry!$C$12+INT((Parametry!$C$13+75-2)/12),MOD(Parametry!$C$13+75-2,12)+1,Parametry!$C$11)</f>
        <v/>
      </c>
      <c r="C77" s="15" t="n">
        <v>75</v>
      </c>
      <c r="D77" s="16">
        <f>L76</f>
        <v/>
      </c>
      <c r="E77" s="17">
        <f>IF(C77&lt;=Parametry!$C$9,Parametry!$C$8,Parametry!$C$10)</f>
        <v/>
      </c>
      <c r="F77" s="16">
        <f>D77*E77/12</f>
        <v/>
      </c>
      <c r="G77" s="16">
        <f>Parametry!$C$7</f>
        <v/>
      </c>
      <c r="H77" s="18" t="n"/>
      <c r="I77" s="19">
        <f>Parametry!$C$7</f>
        <v/>
      </c>
      <c r="J77" s="20">
        <f>G77+IF(ISNUMBER(H77),H77,0)</f>
        <v/>
      </c>
      <c r="K77" s="16">
        <f>MAX(0,J77-F77)</f>
        <v/>
      </c>
      <c r="L77" s="20">
        <f>MAX(0,D77-K77)</f>
        <v/>
      </c>
      <c r="M77" s="21">
        <f>IF(L77&lt;=0,0,MAX(0,ROUNDUP(-LN(1-L77*(E77/12)/Parametry!$C$7)/LN(1+E77/12),0)))</f>
        <v/>
      </c>
    </row>
    <row r="78" ht="18" customHeight="1">
      <c r="A78" s="22" t="n">
        <v>76</v>
      </c>
      <c r="B78" s="23">
        <f>DATE(Parametry!$C$12+INT((Parametry!$C$13+76-2)/12),MOD(Parametry!$C$13+76-2,12)+1,Parametry!$C$11)</f>
        <v/>
      </c>
      <c r="C78" s="24" t="n">
        <v>76</v>
      </c>
      <c r="D78" s="25">
        <f>L77</f>
        <v/>
      </c>
      <c r="E78" s="26">
        <f>IF(C78&lt;=Parametry!$C$9,Parametry!$C$8,Parametry!$C$10)</f>
        <v/>
      </c>
      <c r="F78" s="25">
        <f>D78*E78/12</f>
        <v/>
      </c>
      <c r="G78" s="25">
        <f>Parametry!$C$7</f>
        <v/>
      </c>
      <c r="H78" s="18" t="n"/>
      <c r="I78" s="19">
        <f>Parametry!$C$7</f>
        <v/>
      </c>
      <c r="J78" s="27">
        <f>G78+IF(ISNUMBER(H78),H78,0)</f>
        <v/>
      </c>
      <c r="K78" s="25">
        <f>MAX(0,J78-F78)</f>
        <v/>
      </c>
      <c r="L78" s="27">
        <f>MAX(0,D78-K78)</f>
        <v/>
      </c>
      <c r="M78" s="28">
        <f>IF(L78&lt;=0,0,MAX(0,ROUNDUP(-LN(1-L78*(E78/12)/Parametry!$C$7)/LN(1+E78/12),0)))</f>
        <v/>
      </c>
    </row>
    <row r="79" ht="18" customHeight="1">
      <c r="A79" s="13" t="n">
        <v>77</v>
      </c>
      <c r="B79" s="14">
        <f>DATE(Parametry!$C$12+INT((Parametry!$C$13+77-2)/12),MOD(Parametry!$C$13+77-2,12)+1,Parametry!$C$11)</f>
        <v/>
      </c>
      <c r="C79" s="15" t="n">
        <v>77</v>
      </c>
      <c r="D79" s="16">
        <f>L78</f>
        <v/>
      </c>
      <c r="E79" s="17">
        <f>IF(C79&lt;=Parametry!$C$9,Parametry!$C$8,Parametry!$C$10)</f>
        <v/>
      </c>
      <c r="F79" s="16">
        <f>D79*E79/12</f>
        <v/>
      </c>
      <c r="G79" s="16">
        <f>Parametry!$C$7</f>
        <v/>
      </c>
      <c r="H79" s="18" t="n"/>
      <c r="I79" s="19">
        <f>Parametry!$C$7</f>
        <v/>
      </c>
      <c r="J79" s="20">
        <f>G79+IF(ISNUMBER(H79),H79,0)</f>
        <v/>
      </c>
      <c r="K79" s="16">
        <f>MAX(0,J79-F79)</f>
        <v/>
      </c>
      <c r="L79" s="20">
        <f>MAX(0,D79-K79)</f>
        <v/>
      </c>
      <c r="M79" s="21">
        <f>IF(L79&lt;=0,0,MAX(0,ROUNDUP(-LN(1-L79*(E79/12)/Parametry!$C$7)/LN(1+E79/12),0)))</f>
        <v/>
      </c>
    </row>
    <row r="80" ht="18" customHeight="1">
      <c r="A80" s="22" t="n">
        <v>78</v>
      </c>
      <c r="B80" s="23">
        <f>DATE(Parametry!$C$12+INT((Parametry!$C$13+78-2)/12),MOD(Parametry!$C$13+78-2,12)+1,Parametry!$C$11)</f>
        <v/>
      </c>
      <c r="C80" s="24" t="n">
        <v>78</v>
      </c>
      <c r="D80" s="25">
        <f>L79</f>
        <v/>
      </c>
      <c r="E80" s="26">
        <f>IF(C80&lt;=Parametry!$C$9,Parametry!$C$8,Parametry!$C$10)</f>
        <v/>
      </c>
      <c r="F80" s="25">
        <f>D80*E80/12</f>
        <v/>
      </c>
      <c r="G80" s="25">
        <f>Parametry!$C$7</f>
        <v/>
      </c>
      <c r="H80" s="18" t="n"/>
      <c r="I80" s="19">
        <f>Parametry!$C$7</f>
        <v/>
      </c>
      <c r="J80" s="27">
        <f>G80+IF(ISNUMBER(H80),H80,0)</f>
        <v/>
      </c>
      <c r="K80" s="25">
        <f>MAX(0,J80-F80)</f>
        <v/>
      </c>
      <c r="L80" s="27">
        <f>MAX(0,D80-K80)</f>
        <v/>
      </c>
      <c r="M80" s="28">
        <f>IF(L80&lt;=0,0,MAX(0,ROUNDUP(-LN(1-L80*(E80/12)/Parametry!$C$7)/LN(1+E80/12),0)))</f>
        <v/>
      </c>
    </row>
    <row r="81" ht="18" customHeight="1">
      <c r="A81" s="13" t="n">
        <v>79</v>
      </c>
      <c r="B81" s="14">
        <f>DATE(Parametry!$C$12+INT((Parametry!$C$13+79-2)/12),MOD(Parametry!$C$13+79-2,12)+1,Parametry!$C$11)</f>
        <v/>
      </c>
      <c r="C81" s="15" t="n">
        <v>79</v>
      </c>
      <c r="D81" s="16">
        <f>L80</f>
        <v/>
      </c>
      <c r="E81" s="17">
        <f>IF(C81&lt;=Parametry!$C$9,Parametry!$C$8,Parametry!$C$10)</f>
        <v/>
      </c>
      <c r="F81" s="16">
        <f>D81*E81/12</f>
        <v/>
      </c>
      <c r="G81" s="16">
        <f>Parametry!$C$7</f>
        <v/>
      </c>
      <c r="H81" s="18" t="n"/>
      <c r="I81" s="19">
        <f>Parametry!$C$7</f>
        <v/>
      </c>
      <c r="J81" s="20">
        <f>G81+IF(ISNUMBER(H81),H81,0)</f>
        <v/>
      </c>
      <c r="K81" s="16">
        <f>MAX(0,J81-F81)</f>
        <v/>
      </c>
      <c r="L81" s="20">
        <f>MAX(0,D81-K81)</f>
        <v/>
      </c>
      <c r="M81" s="21">
        <f>IF(L81&lt;=0,0,MAX(0,ROUNDUP(-LN(1-L81*(E81/12)/Parametry!$C$7)/LN(1+E81/12),0)))</f>
        <v/>
      </c>
    </row>
    <row r="82" ht="18" customHeight="1">
      <c r="A82" s="22" t="n">
        <v>80</v>
      </c>
      <c r="B82" s="23">
        <f>DATE(Parametry!$C$12+INT((Parametry!$C$13+80-2)/12),MOD(Parametry!$C$13+80-2,12)+1,Parametry!$C$11)</f>
        <v/>
      </c>
      <c r="C82" s="24" t="n">
        <v>80</v>
      </c>
      <c r="D82" s="25">
        <f>L81</f>
        <v/>
      </c>
      <c r="E82" s="26">
        <f>IF(C82&lt;=Parametry!$C$9,Parametry!$C$8,Parametry!$C$10)</f>
        <v/>
      </c>
      <c r="F82" s="25">
        <f>D82*E82/12</f>
        <v/>
      </c>
      <c r="G82" s="25">
        <f>Parametry!$C$7</f>
        <v/>
      </c>
      <c r="H82" s="18" t="n"/>
      <c r="I82" s="19">
        <f>Parametry!$C$7</f>
        <v/>
      </c>
      <c r="J82" s="27">
        <f>G82+IF(ISNUMBER(H82),H82,0)</f>
        <v/>
      </c>
      <c r="K82" s="25">
        <f>MAX(0,J82-F82)</f>
        <v/>
      </c>
      <c r="L82" s="27">
        <f>MAX(0,D82-K82)</f>
        <v/>
      </c>
      <c r="M82" s="28">
        <f>IF(L82&lt;=0,0,MAX(0,ROUNDUP(-LN(1-L82*(E82/12)/Parametry!$C$7)/LN(1+E82/12),0)))</f>
        <v/>
      </c>
    </row>
    <row r="83" ht="18" customHeight="1">
      <c r="A83" s="13" t="n">
        <v>81</v>
      </c>
      <c r="B83" s="14">
        <f>DATE(Parametry!$C$12+INT((Parametry!$C$13+81-2)/12),MOD(Parametry!$C$13+81-2,12)+1,Parametry!$C$11)</f>
        <v/>
      </c>
      <c r="C83" s="15" t="n">
        <v>81</v>
      </c>
      <c r="D83" s="16">
        <f>L82</f>
        <v/>
      </c>
      <c r="E83" s="17">
        <f>IF(C83&lt;=Parametry!$C$9,Parametry!$C$8,Parametry!$C$10)</f>
        <v/>
      </c>
      <c r="F83" s="16">
        <f>D83*E83/12</f>
        <v/>
      </c>
      <c r="G83" s="16">
        <f>Parametry!$C$7</f>
        <v/>
      </c>
      <c r="H83" s="18" t="n"/>
      <c r="I83" s="19">
        <f>Parametry!$C$7</f>
        <v/>
      </c>
      <c r="J83" s="20">
        <f>G83+IF(ISNUMBER(H83),H83,0)</f>
        <v/>
      </c>
      <c r="K83" s="16">
        <f>MAX(0,J83-F83)</f>
        <v/>
      </c>
      <c r="L83" s="20">
        <f>MAX(0,D83-K83)</f>
        <v/>
      </c>
      <c r="M83" s="21">
        <f>IF(L83&lt;=0,0,MAX(0,ROUNDUP(-LN(1-L83*(E83/12)/Parametry!$C$7)/LN(1+E83/12),0)))</f>
        <v/>
      </c>
    </row>
    <row r="84" ht="18" customHeight="1">
      <c r="A84" s="22" t="n">
        <v>82</v>
      </c>
      <c r="B84" s="23">
        <f>DATE(Parametry!$C$12+INT((Parametry!$C$13+82-2)/12),MOD(Parametry!$C$13+82-2,12)+1,Parametry!$C$11)</f>
        <v/>
      </c>
      <c r="C84" s="24" t="n">
        <v>82</v>
      </c>
      <c r="D84" s="25">
        <f>L83</f>
        <v/>
      </c>
      <c r="E84" s="26">
        <f>IF(C84&lt;=Parametry!$C$9,Parametry!$C$8,Parametry!$C$10)</f>
        <v/>
      </c>
      <c r="F84" s="25">
        <f>D84*E84/12</f>
        <v/>
      </c>
      <c r="G84" s="25">
        <f>Parametry!$C$7</f>
        <v/>
      </c>
      <c r="H84" s="18" t="n"/>
      <c r="I84" s="19">
        <f>Parametry!$C$7</f>
        <v/>
      </c>
      <c r="J84" s="27">
        <f>G84+IF(ISNUMBER(H84),H84,0)</f>
        <v/>
      </c>
      <c r="K84" s="25">
        <f>MAX(0,J84-F84)</f>
        <v/>
      </c>
      <c r="L84" s="27">
        <f>MAX(0,D84-K84)</f>
        <v/>
      </c>
      <c r="M84" s="28">
        <f>IF(L84&lt;=0,0,MAX(0,ROUNDUP(-LN(1-L84*(E84/12)/Parametry!$C$7)/LN(1+E84/12),0)))</f>
        <v/>
      </c>
    </row>
    <row r="85" ht="18" customHeight="1">
      <c r="A85" s="13" t="n">
        <v>83</v>
      </c>
      <c r="B85" s="14">
        <f>DATE(Parametry!$C$12+INT((Parametry!$C$13+83-2)/12),MOD(Parametry!$C$13+83-2,12)+1,Parametry!$C$11)</f>
        <v/>
      </c>
      <c r="C85" s="15" t="n">
        <v>83</v>
      </c>
      <c r="D85" s="16">
        <f>L84</f>
        <v/>
      </c>
      <c r="E85" s="17">
        <f>IF(C85&lt;=Parametry!$C$9,Parametry!$C$8,Parametry!$C$10)</f>
        <v/>
      </c>
      <c r="F85" s="16">
        <f>D85*E85/12</f>
        <v/>
      </c>
      <c r="G85" s="16">
        <f>Parametry!$C$7</f>
        <v/>
      </c>
      <c r="H85" s="18" t="n"/>
      <c r="I85" s="19">
        <f>Parametry!$C$7</f>
        <v/>
      </c>
      <c r="J85" s="20">
        <f>G85+IF(ISNUMBER(H85),H85,0)</f>
        <v/>
      </c>
      <c r="K85" s="16">
        <f>MAX(0,J85-F85)</f>
        <v/>
      </c>
      <c r="L85" s="20">
        <f>MAX(0,D85-K85)</f>
        <v/>
      </c>
      <c r="M85" s="21">
        <f>IF(L85&lt;=0,0,MAX(0,ROUNDUP(-LN(1-L85*(E85/12)/Parametry!$C$7)/LN(1+E85/12),0)))</f>
        <v/>
      </c>
    </row>
    <row r="86" ht="18" customHeight="1">
      <c r="A86" s="22" t="n">
        <v>84</v>
      </c>
      <c r="B86" s="23">
        <f>DATE(Parametry!$C$12+INT((Parametry!$C$13+84-2)/12),MOD(Parametry!$C$13+84-2,12)+1,Parametry!$C$11)</f>
        <v/>
      </c>
      <c r="C86" s="24" t="n">
        <v>84</v>
      </c>
      <c r="D86" s="25">
        <f>L85</f>
        <v/>
      </c>
      <c r="E86" s="26">
        <f>IF(C86&lt;=Parametry!$C$9,Parametry!$C$8,Parametry!$C$10)</f>
        <v/>
      </c>
      <c r="F86" s="25">
        <f>D86*E86/12</f>
        <v/>
      </c>
      <c r="G86" s="25">
        <f>Parametry!$C$7</f>
        <v/>
      </c>
      <c r="H86" s="18" t="n"/>
      <c r="I86" s="19">
        <f>Parametry!$C$7</f>
        <v/>
      </c>
      <c r="J86" s="27">
        <f>G86+IF(ISNUMBER(H86),H86,0)</f>
        <v/>
      </c>
      <c r="K86" s="25">
        <f>MAX(0,J86-F86)</f>
        <v/>
      </c>
      <c r="L86" s="27">
        <f>MAX(0,D86-K86)</f>
        <v/>
      </c>
      <c r="M86" s="28">
        <f>IF(L86&lt;=0,0,MAX(0,ROUNDUP(-LN(1-L86*(E86/12)/Parametry!$C$7)/LN(1+E86/12),0)))</f>
        <v/>
      </c>
    </row>
    <row r="87" ht="18" customHeight="1">
      <c r="A87" s="13" t="n">
        <v>85</v>
      </c>
      <c r="B87" s="14">
        <f>DATE(Parametry!$C$12+INT((Parametry!$C$13+85-2)/12),MOD(Parametry!$C$13+85-2,12)+1,Parametry!$C$11)</f>
        <v/>
      </c>
      <c r="C87" s="15" t="n">
        <v>85</v>
      </c>
      <c r="D87" s="16">
        <f>L86</f>
        <v/>
      </c>
      <c r="E87" s="17">
        <f>IF(C87&lt;=Parametry!$C$9,Parametry!$C$8,Parametry!$C$10)</f>
        <v/>
      </c>
      <c r="F87" s="16">
        <f>D87*E87/12</f>
        <v/>
      </c>
      <c r="G87" s="16">
        <f>Parametry!$C$7</f>
        <v/>
      </c>
      <c r="H87" s="18" t="n"/>
      <c r="I87" s="19">
        <f>Parametry!$C$7</f>
        <v/>
      </c>
      <c r="J87" s="20">
        <f>G87+IF(ISNUMBER(H87),H87,0)</f>
        <v/>
      </c>
      <c r="K87" s="16">
        <f>MAX(0,J87-F87)</f>
        <v/>
      </c>
      <c r="L87" s="20">
        <f>MAX(0,D87-K87)</f>
        <v/>
      </c>
      <c r="M87" s="21">
        <f>IF(L87&lt;=0,0,MAX(0,ROUNDUP(-LN(1-L87*(E87/12)/Parametry!$C$7)/LN(1+E87/12),0)))</f>
        <v/>
      </c>
    </row>
    <row r="88" ht="18" customHeight="1">
      <c r="A88" s="22" t="n">
        <v>86</v>
      </c>
      <c r="B88" s="23">
        <f>DATE(Parametry!$C$12+INT((Parametry!$C$13+86-2)/12),MOD(Parametry!$C$13+86-2,12)+1,Parametry!$C$11)</f>
        <v/>
      </c>
      <c r="C88" s="24" t="n">
        <v>86</v>
      </c>
      <c r="D88" s="25">
        <f>L87</f>
        <v/>
      </c>
      <c r="E88" s="26">
        <f>IF(C88&lt;=Parametry!$C$9,Parametry!$C$8,Parametry!$C$10)</f>
        <v/>
      </c>
      <c r="F88" s="25">
        <f>D88*E88/12</f>
        <v/>
      </c>
      <c r="G88" s="25">
        <f>Parametry!$C$7</f>
        <v/>
      </c>
      <c r="H88" s="18" t="n"/>
      <c r="I88" s="19">
        <f>Parametry!$C$7</f>
        <v/>
      </c>
      <c r="J88" s="27">
        <f>G88+IF(ISNUMBER(H88),H88,0)</f>
        <v/>
      </c>
      <c r="K88" s="25">
        <f>MAX(0,J88-F88)</f>
        <v/>
      </c>
      <c r="L88" s="27">
        <f>MAX(0,D88-K88)</f>
        <v/>
      </c>
      <c r="M88" s="28">
        <f>IF(L88&lt;=0,0,MAX(0,ROUNDUP(-LN(1-L88*(E88/12)/Parametry!$C$7)/LN(1+E88/12),0)))</f>
        <v/>
      </c>
    </row>
    <row r="89" ht="18" customHeight="1">
      <c r="A89" s="13" t="n">
        <v>87</v>
      </c>
      <c r="B89" s="14">
        <f>DATE(Parametry!$C$12+INT((Parametry!$C$13+87-2)/12),MOD(Parametry!$C$13+87-2,12)+1,Parametry!$C$11)</f>
        <v/>
      </c>
      <c r="C89" s="15" t="n">
        <v>87</v>
      </c>
      <c r="D89" s="16">
        <f>L88</f>
        <v/>
      </c>
      <c r="E89" s="17">
        <f>IF(C89&lt;=Parametry!$C$9,Parametry!$C$8,Parametry!$C$10)</f>
        <v/>
      </c>
      <c r="F89" s="16">
        <f>D89*E89/12</f>
        <v/>
      </c>
      <c r="G89" s="16">
        <f>Parametry!$C$7</f>
        <v/>
      </c>
      <c r="H89" s="18" t="n"/>
      <c r="I89" s="19">
        <f>Parametry!$C$7</f>
        <v/>
      </c>
      <c r="J89" s="20">
        <f>G89+IF(ISNUMBER(H89),H89,0)</f>
        <v/>
      </c>
      <c r="K89" s="16">
        <f>MAX(0,J89-F89)</f>
        <v/>
      </c>
      <c r="L89" s="20">
        <f>MAX(0,D89-K89)</f>
        <v/>
      </c>
      <c r="M89" s="21">
        <f>IF(L89&lt;=0,0,MAX(0,ROUNDUP(-LN(1-L89*(E89/12)/Parametry!$C$7)/LN(1+E89/12),0)))</f>
        <v/>
      </c>
    </row>
    <row r="90" ht="18" customHeight="1">
      <c r="A90" s="22" t="n">
        <v>88</v>
      </c>
      <c r="B90" s="23">
        <f>DATE(Parametry!$C$12+INT((Parametry!$C$13+88-2)/12),MOD(Parametry!$C$13+88-2,12)+1,Parametry!$C$11)</f>
        <v/>
      </c>
      <c r="C90" s="24" t="n">
        <v>88</v>
      </c>
      <c r="D90" s="25">
        <f>L89</f>
        <v/>
      </c>
      <c r="E90" s="26">
        <f>IF(C90&lt;=Parametry!$C$9,Parametry!$C$8,Parametry!$C$10)</f>
        <v/>
      </c>
      <c r="F90" s="25">
        <f>D90*E90/12</f>
        <v/>
      </c>
      <c r="G90" s="25">
        <f>Parametry!$C$7</f>
        <v/>
      </c>
      <c r="H90" s="18" t="n"/>
      <c r="I90" s="19">
        <f>Parametry!$C$7</f>
        <v/>
      </c>
      <c r="J90" s="27">
        <f>G90+IF(ISNUMBER(H90),H90,0)</f>
        <v/>
      </c>
      <c r="K90" s="25">
        <f>MAX(0,J90-F90)</f>
        <v/>
      </c>
      <c r="L90" s="27">
        <f>MAX(0,D90-K90)</f>
        <v/>
      </c>
      <c r="M90" s="28">
        <f>IF(L90&lt;=0,0,MAX(0,ROUNDUP(-LN(1-L90*(E90/12)/Parametry!$C$7)/LN(1+E90/12),0)))</f>
        <v/>
      </c>
    </row>
    <row r="91" ht="18" customHeight="1">
      <c r="A91" s="13" t="n">
        <v>89</v>
      </c>
      <c r="B91" s="14">
        <f>DATE(Parametry!$C$12+INT((Parametry!$C$13+89-2)/12),MOD(Parametry!$C$13+89-2,12)+1,Parametry!$C$11)</f>
        <v/>
      </c>
      <c r="C91" s="15" t="n">
        <v>89</v>
      </c>
      <c r="D91" s="16">
        <f>L90</f>
        <v/>
      </c>
      <c r="E91" s="17">
        <f>IF(C91&lt;=Parametry!$C$9,Parametry!$C$8,Parametry!$C$10)</f>
        <v/>
      </c>
      <c r="F91" s="16">
        <f>D91*E91/12</f>
        <v/>
      </c>
      <c r="G91" s="16">
        <f>Parametry!$C$7</f>
        <v/>
      </c>
      <c r="H91" s="18" t="n"/>
      <c r="I91" s="19">
        <f>Parametry!$C$7</f>
        <v/>
      </c>
      <c r="J91" s="20">
        <f>G91+IF(ISNUMBER(H91),H91,0)</f>
        <v/>
      </c>
      <c r="K91" s="16">
        <f>MAX(0,J91-F91)</f>
        <v/>
      </c>
      <c r="L91" s="20">
        <f>MAX(0,D91-K91)</f>
        <v/>
      </c>
      <c r="M91" s="21">
        <f>IF(L91&lt;=0,0,MAX(0,ROUNDUP(-LN(1-L91*(E91/12)/Parametry!$C$7)/LN(1+E91/12),0)))</f>
        <v/>
      </c>
    </row>
    <row r="92" ht="18" customHeight="1">
      <c r="A92" s="22" t="n">
        <v>90</v>
      </c>
      <c r="B92" s="23">
        <f>DATE(Parametry!$C$12+INT((Parametry!$C$13+90-2)/12),MOD(Parametry!$C$13+90-2,12)+1,Parametry!$C$11)</f>
        <v/>
      </c>
      <c r="C92" s="24" t="n">
        <v>90</v>
      </c>
      <c r="D92" s="25">
        <f>L91</f>
        <v/>
      </c>
      <c r="E92" s="26">
        <f>IF(C92&lt;=Parametry!$C$9,Parametry!$C$8,Parametry!$C$10)</f>
        <v/>
      </c>
      <c r="F92" s="25">
        <f>D92*E92/12</f>
        <v/>
      </c>
      <c r="G92" s="25">
        <f>Parametry!$C$7</f>
        <v/>
      </c>
      <c r="H92" s="18" t="n"/>
      <c r="I92" s="19">
        <f>Parametry!$C$7</f>
        <v/>
      </c>
      <c r="J92" s="27">
        <f>G92+IF(ISNUMBER(H92),H92,0)</f>
        <v/>
      </c>
      <c r="K92" s="25">
        <f>MAX(0,J92-F92)</f>
        <v/>
      </c>
      <c r="L92" s="27">
        <f>MAX(0,D92-K92)</f>
        <v/>
      </c>
      <c r="M92" s="28">
        <f>IF(L92&lt;=0,0,MAX(0,ROUNDUP(-LN(1-L92*(E92/12)/Parametry!$C$7)/LN(1+E92/12),0)))</f>
        <v/>
      </c>
    </row>
    <row r="93" ht="18" customHeight="1">
      <c r="A93" s="13" t="n">
        <v>91</v>
      </c>
      <c r="B93" s="14">
        <f>DATE(Parametry!$C$12+INT((Parametry!$C$13+91-2)/12),MOD(Parametry!$C$13+91-2,12)+1,Parametry!$C$11)</f>
        <v/>
      </c>
      <c r="C93" s="15" t="n">
        <v>91</v>
      </c>
      <c r="D93" s="16">
        <f>L92</f>
        <v/>
      </c>
      <c r="E93" s="17">
        <f>IF(C93&lt;=Parametry!$C$9,Parametry!$C$8,Parametry!$C$10)</f>
        <v/>
      </c>
      <c r="F93" s="16">
        <f>D93*E93/12</f>
        <v/>
      </c>
      <c r="G93" s="16">
        <f>Parametry!$C$7</f>
        <v/>
      </c>
      <c r="H93" s="18" t="n"/>
      <c r="I93" s="19">
        <f>Parametry!$C$7</f>
        <v/>
      </c>
      <c r="J93" s="20">
        <f>G93+IF(ISNUMBER(H93),H93,0)</f>
        <v/>
      </c>
      <c r="K93" s="16">
        <f>MAX(0,J93-F93)</f>
        <v/>
      </c>
      <c r="L93" s="20">
        <f>MAX(0,D93-K93)</f>
        <v/>
      </c>
      <c r="M93" s="21">
        <f>IF(L93&lt;=0,0,MAX(0,ROUNDUP(-LN(1-L93*(E93/12)/Parametry!$C$7)/LN(1+E93/12),0)))</f>
        <v/>
      </c>
    </row>
    <row r="94" ht="18" customHeight="1">
      <c r="A94" s="22" t="n">
        <v>92</v>
      </c>
      <c r="B94" s="23">
        <f>DATE(Parametry!$C$12+INT((Parametry!$C$13+92-2)/12),MOD(Parametry!$C$13+92-2,12)+1,Parametry!$C$11)</f>
        <v/>
      </c>
      <c r="C94" s="24" t="n">
        <v>92</v>
      </c>
      <c r="D94" s="25">
        <f>L93</f>
        <v/>
      </c>
      <c r="E94" s="26">
        <f>IF(C94&lt;=Parametry!$C$9,Parametry!$C$8,Parametry!$C$10)</f>
        <v/>
      </c>
      <c r="F94" s="25">
        <f>D94*E94/12</f>
        <v/>
      </c>
      <c r="G94" s="25">
        <f>Parametry!$C$7</f>
        <v/>
      </c>
      <c r="H94" s="18" t="n"/>
      <c r="I94" s="19">
        <f>Parametry!$C$7</f>
        <v/>
      </c>
      <c r="J94" s="27">
        <f>G94+IF(ISNUMBER(H94),H94,0)</f>
        <v/>
      </c>
      <c r="K94" s="25">
        <f>MAX(0,J94-F94)</f>
        <v/>
      </c>
      <c r="L94" s="27">
        <f>MAX(0,D94-K94)</f>
        <v/>
      </c>
      <c r="M94" s="28">
        <f>IF(L94&lt;=0,0,MAX(0,ROUNDUP(-LN(1-L94*(E94/12)/Parametry!$C$7)/LN(1+E94/12),0)))</f>
        <v/>
      </c>
    </row>
    <row r="95" ht="18" customHeight="1">
      <c r="A95" s="13" t="n">
        <v>93</v>
      </c>
      <c r="B95" s="14">
        <f>DATE(Parametry!$C$12+INT((Parametry!$C$13+93-2)/12),MOD(Parametry!$C$13+93-2,12)+1,Parametry!$C$11)</f>
        <v/>
      </c>
      <c r="C95" s="15" t="n">
        <v>93</v>
      </c>
      <c r="D95" s="16">
        <f>L94</f>
        <v/>
      </c>
      <c r="E95" s="17">
        <f>IF(C95&lt;=Parametry!$C$9,Parametry!$C$8,Parametry!$C$10)</f>
        <v/>
      </c>
      <c r="F95" s="16">
        <f>D95*E95/12</f>
        <v/>
      </c>
      <c r="G95" s="16">
        <f>Parametry!$C$7</f>
        <v/>
      </c>
      <c r="H95" s="18" t="n"/>
      <c r="I95" s="19">
        <f>Parametry!$C$7</f>
        <v/>
      </c>
      <c r="J95" s="20">
        <f>G95+IF(ISNUMBER(H95),H95,0)</f>
        <v/>
      </c>
      <c r="K95" s="16">
        <f>MAX(0,J95-F95)</f>
        <v/>
      </c>
      <c r="L95" s="20">
        <f>MAX(0,D95-K95)</f>
        <v/>
      </c>
      <c r="M95" s="21">
        <f>IF(L95&lt;=0,0,MAX(0,ROUNDUP(-LN(1-L95*(E95/12)/Parametry!$C$7)/LN(1+E95/12),0)))</f>
        <v/>
      </c>
    </row>
    <row r="96" ht="18" customHeight="1">
      <c r="A96" s="22" t="n">
        <v>94</v>
      </c>
      <c r="B96" s="23">
        <f>DATE(Parametry!$C$12+INT((Parametry!$C$13+94-2)/12),MOD(Parametry!$C$13+94-2,12)+1,Parametry!$C$11)</f>
        <v/>
      </c>
      <c r="C96" s="24" t="n">
        <v>94</v>
      </c>
      <c r="D96" s="25">
        <f>L95</f>
        <v/>
      </c>
      <c r="E96" s="26">
        <f>IF(C96&lt;=Parametry!$C$9,Parametry!$C$8,Parametry!$C$10)</f>
        <v/>
      </c>
      <c r="F96" s="25">
        <f>D96*E96/12</f>
        <v/>
      </c>
      <c r="G96" s="25">
        <f>Parametry!$C$7</f>
        <v/>
      </c>
      <c r="H96" s="18" t="n"/>
      <c r="I96" s="19">
        <f>Parametry!$C$7</f>
        <v/>
      </c>
      <c r="J96" s="27">
        <f>G96+IF(ISNUMBER(H96),H96,0)</f>
        <v/>
      </c>
      <c r="K96" s="25">
        <f>MAX(0,J96-F96)</f>
        <v/>
      </c>
      <c r="L96" s="27">
        <f>MAX(0,D96-K96)</f>
        <v/>
      </c>
      <c r="M96" s="28">
        <f>IF(L96&lt;=0,0,MAX(0,ROUNDUP(-LN(1-L96*(E96/12)/Parametry!$C$7)/LN(1+E96/12),0)))</f>
        <v/>
      </c>
    </row>
    <row r="97" ht="18" customHeight="1">
      <c r="A97" s="13" t="n">
        <v>95</v>
      </c>
      <c r="B97" s="14">
        <f>DATE(Parametry!$C$12+INT((Parametry!$C$13+95-2)/12),MOD(Parametry!$C$13+95-2,12)+1,Parametry!$C$11)</f>
        <v/>
      </c>
      <c r="C97" s="15" t="n">
        <v>95</v>
      </c>
      <c r="D97" s="16">
        <f>L96</f>
        <v/>
      </c>
      <c r="E97" s="17">
        <f>IF(C97&lt;=Parametry!$C$9,Parametry!$C$8,Parametry!$C$10)</f>
        <v/>
      </c>
      <c r="F97" s="16">
        <f>D97*E97/12</f>
        <v/>
      </c>
      <c r="G97" s="16">
        <f>Parametry!$C$7</f>
        <v/>
      </c>
      <c r="H97" s="18" t="n"/>
      <c r="I97" s="19">
        <f>Parametry!$C$7</f>
        <v/>
      </c>
      <c r="J97" s="20">
        <f>G97+IF(ISNUMBER(H97),H97,0)</f>
        <v/>
      </c>
      <c r="K97" s="16">
        <f>MAX(0,J97-F97)</f>
        <v/>
      </c>
      <c r="L97" s="20">
        <f>MAX(0,D97-K97)</f>
        <v/>
      </c>
      <c r="M97" s="21">
        <f>IF(L97&lt;=0,0,MAX(0,ROUNDUP(-LN(1-L97*(E97/12)/Parametry!$C$7)/LN(1+E97/12),0)))</f>
        <v/>
      </c>
    </row>
    <row r="98" ht="18" customHeight="1">
      <c r="A98" s="22" t="n">
        <v>96</v>
      </c>
      <c r="B98" s="23">
        <f>DATE(Parametry!$C$12+INT((Parametry!$C$13+96-2)/12),MOD(Parametry!$C$13+96-2,12)+1,Parametry!$C$11)</f>
        <v/>
      </c>
      <c r="C98" s="24" t="n">
        <v>96</v>
      </c>
      <c r="D98" s="25">
        <f>L97</f>
        <v/>
      </c>
      <c r="E98" s="26">
        <f>IF(C98&lt;=Parametry!$C$9,Parametry!$C$8,Parametry!$C$10)</f>
        <v/>
      </c>
      <c r="F98" s="25">
        <f>D98*E98/12</f>
        <v/>
      </c>
      <c r="G98" s="25">
        <f>Parametry!$C$7</f>
        <v/>
      </c>
      <c r="H98" s="18" t="n"/>
      <c r="I98" s="19">
        <f>Parametry!$C$7</f>
        <v/>
      </c>
      <c r="J98" s="27">
        <f>G98+IF(ISNUMBER(H98),H98,0)</f>
        <v/>
      </c>
      <c r="K98" s="25">
        <f>MAX(0,J98-F98)</f>
        <v/>
      </c>
      <c r="L98" s="27">
        <f>MAX(0,D98-K98)</f>
        <v/>
      </c>
      <c r="M98" s="28">
        <f>IF(L98&lt;=0,0,MAX(0,ROUNDUP(-LN(1-L98*(E98/12)/Parametry!$C$7)/LN(1+E98/12),0)))</f>
        <v/>
      </c>
    </row>
    <row r="99" ht="18" customHeight="1">
      <c r="A99" s="13" t="n">
        <v>97</v>
      </c>
      <c r="B99" s="14">
        <f>DATE(Parametry!$C$12+INT((Parametry!$C$13+97-2)/12),MOD(Parametry!$C$13+97-2,12)+1,Parametry!$C$11)</f>
        <v/>
      </c>
      <c r="C99" s="15" t="n">
        <v>97</v>
      </c>
      <c r="D99" s="16">
        <f>L98</f>
        <v/>
      </c>
      <c r="E99" s="17">
        <f>IF(C99&lt;=Parametry!$C$9,Parametry!$C$8,Parametry!$C$10)</f>
        <v/>
      </c>
      <c r="F99" s="16">
        <f>D99*E99/12</f>
        <v/>
      </c>
      <c r="G99" s="16">
        <f>Parametry!$C$7</f>
        <v/>
      </c>
      <c r="H99" s="18" t="n"/>
      <c r="I99" s="19">
        <f>Parametry!$C$7</f>
        <v/>
      </c>
      <c r="J99" s="20">
        <f>G99+IF(ISNUMBER(H99),H99,0)</f>
        <v/>
      </c>
      <c r="K99" s="16">
        <f>MAX(0,J99-F99)</f>
        <v/>
      </c>
      <c r="L99" s="20">
        <f>MAX(0,D99-K99)</f>
        <v/>
      </c>
      <c r="M99" s="21">
        <f>IF(L99&lt;=0,0,MAX(0,ROUNDUP(-LN(1-L99*(E99/12)/Parametry!$C$7)/LN(1+E99/12),0)))</f>
        <v/>
      </c>
    </row>
    <row r="100" ht="18" customHeight="1">
      <c r="A100" s="22" t="n">
        <v>98</v>
      </c>
      <c r="B100" s="23">
        <f>DATE(Parametry!$C$12+INT((Parametry!$C$13+98-2)/12),MOD(Parametry!$C$13+98-2,12)+1,Parametry!$C$11)</f>
        <v/>
      </c>
      <c r="C100" s="24" t="n">
        <v>98</v>
      </c>
      <c r="D100" s="25">
        <f>L99</f>
        <v/>
      </c>
      <c r="E100" s="26">
        <f>IF(C100&lt;=Parametry!$C$9,Parametry!$C$8,Parametry!$C$10)</f>
        <v/>
      </c>
      <c r="F100" s="25">
        <f>D100*E100/12</f>
        <v/>
      </c>
      <c r="G100" s="25">
        <f>Parametry!$C$7</f>
        <v/>
      </c>
      <c r="H100" s="18" t="n"/>
      <c r="I100" s="19">
        <f>Parametry!$C$7</f>
        <v/>
      </c>
      <c r="J100" s="27">
        <f>G100+IF(ISNUMBER(H100),H100,0)</f>
        <v/>
      </c>
      <c r="K100" s="25">
        <f>MAX(0,J100-F100)</f>
        <v/>
      </c>
      <c r="L100" s="27">
        <f>MAX(0,D100-K100)</f>
        <v/>
      </c>
      <c r="M100" s="28">
        <f>IF(L100&lt;=0,0,MAX(0,ROUNDUP(-LN(1-L100*(E100/12)/Parametry!$C$7)/LN(1+E100/12),0)))</f>
        <v/>
      </c>
    </row>
    <row r="101" ht="18" customHeight="1">
      <c r="A101" s="13" t="n">
        <v>99</v>
      </c>
      <c r="B101" s="14">
        <f>DATE(Parametry!$C$12+INT((Parametry!$C$13+99-2)/12),MOD(Parametry!$C$13+99-2,12)+1,Parametry!$C$11)</f>
        <v/>
      </c>
      <c r="C101" s="15" t="n">
        <v>99</v>
      </c>
      <c r="D101" s="16">
        <f>L100</f>
        <v/>
      </c>
      <c r="E101" s="17">
        <f>IF(C101&lt;=Parametry!$C$9,Parametry!$C$8,Parametry!$C$10)</f>
        <v/>
      </c>
      <c r="F101" s="16">
        <f>D101*E101/12</f>
        <v/>
      </c>
      <c r="G101" s="16">
        <f>Parametry!$C$7</f>
        <v/>
      </c>
      <c r="H101" s="18" t="n"/>
      <c r="I101" s="19">
        <f>Parametry!$C$7</f>
        <v/>
      </c>
      <c r="J101" s="20">
        <f>G101+IF(ISNUMBER(H101),H101,0)</f>
        <v/>
      </c>
      <c r="K101" s="16">
        <f>MAX(0,J101-F101)</f>
        <v/>
      </c>
      <c r="L101" s="20">
        <f>MAX(0,D101-K101)</f>
        <v/>
      </c>
      <c r="M101" s="21">
        <f>IF(L101&lt;=0,0,MAX(0,ROUNDUP(-LN(1-L101*(E101/12)/Parametry!$C$7)/LN(1+E101/12),0)))</f>
        <v/>
      </c>
    </row>
    <row r="102" ht="18" customHeight="1">
      <c r="A102" s="22" t="n">
        <v>100</v>
      </c>
      <c r="B102" s="23">
        <f>DATE(Parametry!$C$12+INT((Parametry!$C$13+100-2)/12),MOD(Parametry!$C$13+100-2,12)+1,Parametry!$C$11)</f>
        <v/>
      </c>
      <c r="C102" s="24" t="n">
        <v>100</v>
      </c>
      <c r="D102" s="25">
        <f>L101</f>
        <v/>
      </c>
      <c r="E102" s="26">
        <f>IF(C102&lt;=Parametry!$C$9,Parametry!$C$8,Parametry!$C$10)</f>
        <v/>
      </c>
      <c r="F102" s="25">
        <f>D102*E102/12</f>
        <v/>
      </c>
      <c r="G102" s="25">
        <f>Parametry!$C$7</f>
        <v/>
      </c>
      <c r="H102" s="18" t="n"/>
      <c r="I102" s="19">
        <f>Parametry!$C$7</f>
        <v/>
      </c>
      <c r="J102" s="27">
        <f>G102+IF(ISNUMBER(H102),H102,0)</f>
        <v/>
      </c>
      <c r="K102" s="25">
        <f>MAX(0,J102-F102)</f>
        <v/>
      </c>
      <c r="L102" s="27">
        <f>MAX(0,D102-K102)</f>
        <v/>
      </c>
      <c r="M102" s="28">
        <f>IF(L102&lt;=0,0,MAX(0,ROUNDUP(-LN(1-L102*(E102/12)/Parametry!$C$7)/LN(1+E102/12),0)))</f>
        <v/>
      </c>
    </row>
    <row r="103" ht="18" customHeight="1">
      <c r="A103" s="13" t="n">
        <v>101</v>
      </c>
      <c r="B103" s="14">
        <f>DATE(Parametry!$C$12+INT((Parametry!$C$13+101-2)/12),MOD(Parametry!$C$13+101-2,12)+1,Parametry!$C$11)</f>
        <v/>
      </c>
      <c r="C103" s="15" t="n">
        <v>101</v>
      </c>
      <c r="D103" s="16">
        <f>L102</f>
        <v/>
      </c>
      <c r="E103" s="17">
        <f>IF(C103&lt;=Parametry!$C$9,Parametry!$C$8,Parametry!$C$10)</f>
        <v/>
      </c>
      <c r="F103" s="16">
        <f>D103*E103/12</f>
        <v/>
      </c>
      <c r="G103" s="16">
        <f>Parametry!$C$7</f>
        <v/>
      </c>
      <c r="H103" s="18" t="n"/>
      <c r="I103" s="19">
        <f>Parametry!$C$7</f>
        <v/>
      </c>
      <c r="J103" s="20">
        <f>G103+IF(ISNUMBER(H103),H103,0)</f>
        <v/>
      </c>
      <c r="K103" s="16">
        <f>MAX(0,J103-F103)</f>
        <v/>
      </c>
      <c r="L103" s="20">
        <f>MAX(0,D103-K103)</f>
        <v/>
      </c>
      <c r="M103" s="21">
        <f>IF(L103&lt;=0,0,MAX(0,ROUNDUP(-LN(1-L103*(E103/12)/Parametry!$C$7)/LN(1+E103/12),0)))</f>
        <v/>
      </c>
    </row>
    <row r="104" ht="18" customHeight="1">
      <c r="A104" s="22" t="n">
        <v>102</v>
      </c>
      <c r="B104" s="23">
        <f>DATE(Parametry!$C$12+INT((Parametry!$C$13+102-2)/12),MOD(Parametry!$C$13+102-2,12)+1,Parametry!$C$11)</f>
        <v/>
      </c>
      <c r="C104" s="24" t="n">
        <v>102</v>
      </c>
      <c r="D104" s="25">
        <f>L103</f>
        <v/>
      </c>
      <c r="E104" s="26">
        <f>IF(C104&lt;=Parametry!$C$9,Parametry!$C$8,Parametry!$C$10)</f>
        <v/>
      </c>
      <c r="F104" s="25">
        <f>D104*E104/12</f>
        <v/>
      </c>
      <c r="G104" s="25">
        <f>Parametry!$C$7</f>
        <v/>
      </c>
      <c r="H104" s="18" t="n"/>
      <c r="I104" s="19">
        <f>Parametry!$C$7</f>
        <v/>
      </c>
      <c r="J104" s="27">
        <f>G104+IF(ISNUMBER(H104),H104,0)</f>
        <v/>
      </c>
      <c r="K104" s="25">
        <f>MAX(0,J104-F104)</f>
        <v/>
      </c>
      <c r="L104" s="27">
        <f>MAX(0,D104-K104)</f>
        <v/>
      </c>
      <c r="M104" s="28">
        <f>IF(L104&lt;=0,0,MAX(0,ROUNDUP(-LN(1-L104*(E104/12)/Parametry!$C$7)/LN(1+E104/12),0)))</f>
        <v/>
      </c>
    </row>
    <row r="105" ht="18" customHeight="1">
      <c r="A105" s="13" t="n">
        <v>103</v>
      </c>
      <c r="B105" s="14">
        <f>DATE(Parametry!$C$12+INT((Parametry!$C$13+103-2)/12),MOD(Parametry!$C$13+103-2,12)+1,Parametry!$C$11)</f>
        <v/>
      </c>
      <c r="C105" s="15" t="n">
        <v>103</v>
      </c>
      <c r="D105" s="16">
        <f>L104</f>
        <v/>
      </c>
      <c r="E105" s="17">
        <f>IF(C105&lt;=Parametry!$C$9,Parametry!$C$8,Parametry!$C$10)</f>
        <v/>
      </c>
      <c r="F105" s="16">
        <f>D105*E105/12</f>
        <v/>
      </c>
      <c r="G105" s="16">
        <f>Parametry!$C$7</f>
        <v/>
      </c>
      <c r="H105" s="18" t="n"/>
      <c r="I105" s="19">
        <f>Parametry!$C$7</f>
        <v/>
      </c>
      <c r="J105" s="20">
        <f>G105+IF(ISNUMBER(H105),H105,0)</f>
        <v/>
      </c>
      <c r="K105" s="16">
        <f>MAX(0,J105-F105)</f>
        <v/>
      </c>
      <c r="L105" s="20">
        <f>MAX(0,D105-K105)</f>
        <v/>
      </c>
      <c r="M105" s="21">
        <f>IF(L105&lt;=0,0,MAX(0,ROUNDUP(-LN(1-L105*(E105/12)/Parametry!$C$7)/LN(1+E105/12),0)))</f>
        <v/>
      </c>
    </row>
    <row r="106" ht="18" customHeight="1">
      <c r="A106" s="22" t="n">
        <v>104</v>
      </c>
      <c r="B106" s="23">
        <f>DATE(Parametry!$C$12+INT((Parametry!$C$13+104-2)/12),MOD(Parametry!$C$13+104-2,12)+1,Parametry!$C$11)</f>
        <v/>
      </c>
      <c r="C106" s="24" t="n">
        <v>104</v>
      </c>
      <c r="D106" s="25">
        <f>L105</f>
        <v/>
      </c>
      <c r="E106" s="26">
        <f>IF(C106&lt;=Parametry!$C$9,Parametry!$C$8,Parametry!$C$10)</f>
        <v/>
      </c>
      <c r="F106" s="25">
        <f>D106*E106/12</f>
        <v/>
      </c>
      <c r="G106" s="25">
        <f>Parametry!$C$7</f>
        <v/>
      </c>
      <c r="H106" s="18" t="n"/>
      <c r="I106" s="19">
        <f>Parametry!$C$7</f>
        <v/>
      </c>
      <c r="J106" s="27">
        <f>G106+IF(ISNUMBER(H106),H106,0)</f>
        <v/>
      </c>
      <c r="K106" s="25">
        <f>MAX(0,J106-F106)</f>
        <v/>
      </c>
      <c r="L106" s="27">
        <f>MAX(0,D106-K106)</f>
        <v/>
      </c>
      <c r="M106" s="28">
        <f>IF(L106&lt;=0,0,MAX(0,ROUNDUP(-LN(1-L106*(E106/12)/Parametry!$C$7)/LN(1+E106/12),0)))</f>
        <v/>
      </c>
    </row>
    <row r="107" ht="18" customHeight="1">
      <c r="A107" s="13" t="n">
        <v>105</v>
      </c>
      <c r="B107" s="14">
        <f>DATE(Parametry!$C$12+INT((Parametry!$C$13+105-2)/12),MOD(Parametry!$C$13+105-2,12)+1,Parametry!$C$11)</f>
        <v/>
      </c>
      <c r="C107" s="15" t="n">
        <v>105</v>
      </c>
      <c r="D107" s="16">
        <f>L106</f>
        <v/>
      </c>
      <c r="E107" s="17">
        <f>IF(C107&lt;=Parametry!$C$9,Parametry!$C$8,Parametry!$C$10)</f>
        <v/>
      </c>
      <c r="F107" s="16">
        <f>D107*E107/12</f>
        <v/>
      </c>
      <c r="G107" s="16">
        <f>Parametry!$C$7</f>
        <v/>
      </c>
      <c r="H107" s="18" t="n"/>
      <c r="I107" s="19">
        <f>Parametry!$C$7</f>
        <v/>
      </c>
      <c r="J107" s="20">
        <f>G107+IF(ISNUMBER(H107),H107,0)</f>
        <v/>
      </c>
      <c r="K107" s="16">
        <f>MAX(0,J107-F107)</f>
        <v/>
      </c>
      <c r="L107" s="20">
        <f>MAX(0,D107-K107)</f>
        <v/>
      </c>
      <c r="M107" s="21">
        <f>IF(L107&lt;=0,0,MAX(0,ROUNDUP(-LN(1-L107*(E107/12)/Parametry!$C$7)/LN(1+E107/12),0)))</f>
        <v/>
      </c>
    </row>
    <row r="108" ht="18" customHeight="1">
      <c r="A108" s="22" t="n">
        <v>106</v>
      </c>
      <c r="B108" s="23">
        <f>DATE(Parametry!$C$12+INT((Parametry!$C$13+106-2)/12),MOD(Parametry!$C$13+106-2,12)+1,Parametry!$C$11)</f>
        <v/>
      </c>
      <c r="C108" s="24" t="n">
        <v>106</v>
      </c>
      <c r="D108" s="25">
        <f>L107</f>
        <v/>
      </c>
      <c r="E108" s="26">
        <f>IF(C108&lt;=Parametry!$C$9,Parametry!$C$8,Parametry!$C$10)</f>
        <v/>
      </c>
      <c r="F108" s="25">
        <f>D108*E108/12</f>
        <v/>
      </c>
      <c r="G108" s="25">
        <f>Parametry!$C$7</f>
        <v/>
      </c>
      <c r="H108" s="18" t="n"/>
      <c r="I108" s="19">
        <f>Parametry!$C$7</f>
        <v/>
      </c>
      <c r="J108" s="27">
        <f>G108+IF(ISNUMBER(H108),H108,0)</f>
        <v/>
      </c>
      <c r="K108" s="25">
        <f>MAX(0,J108-F108)</f>
        <v/>
      </c>
      <c r="L108" s="27">
        <f>MAX(0,D108-K108)</f>
        <v/>
      </c>
      <c r="M108" s="28">
        <f>IF(L108&lt;=0,0,MAX(0,ROUNDUP(-LN(1-L108*(E108/12)/Parametry!$C$7)/LN(1+E108/12),0)))</f>
        <v/>
      </c>
    </row>
    <row r="109" ht="18" customHeight="1">
      <c r="A109" s="13" t="n">
        <v>107</v>
      </c>
      <c r="B109" s="14">
        <f>DATE(Parametry!$C$12+INT((Parametry!$C$13+107-2)/12),MOD(Parametry!$C$13+107-2,12)+1,Parametry!$C$11)</f>
        <v/>
      </c>
      <c r="C109" s="15" t="n">
        <v>107</v>
      </c>
      <c r="D109" s="16">
        <f>L108</f>
        <v/>
      </c>
      <c r="E109" s="17">
        <f>IF(C109&lt;=Parametry!$C$9,Parametry!$C$8,Parametry!$C$10)</f>
        <v/>
      </c>
      <c r="F109" s="16">
        <f>D109*E109/12</f>
        <v/>
      </c>
      <c r="G109" s="16">
        <f>Parametry!$C$7</f>
        <v/>
      </c>
      <c r="H109" s="18" t="n"/>
      <c r="I109" s="19">
        <f>Parametry!$C$7</f>
        <v/>
      </c>
      <c r="J109" s="20">
        <f>G109+IF(ISNUMBER(H109),H109,0)</f>
        <v/>
      </c>
      <c r="K109" s="16">
        <f>MAX(0,J109-F109)</f>
        <v/>
      </c>
      <c r="L109" s="20">
        <f>MAX(0,D109-K109)</f>
        <v/>
      </c>
      <c r="M109" s="21">
        <f>IF(L109&lt;=0,0,MAX(0,ROUNDUP(-LN(1-L109*(E109/12)/Parametry!$C$7)/LN(1+E109/12),0)))</f>
        <v/>
      </c>
    </row>
    <row r="110" ht="18" customHeight="1">
      <c r="A110" s="22" t="n">
        <v>108</v>
      </c>
      <c r="B110" s="23">
        <f>DATE(Parametry!$C$12+INT((Parametry!$C$13+108-2)/12),MOD(Parametry!$C$13+108-2,12)+1,Parametry!$C$11)</f>
        <v/>
      </c>
      <c r="C110" s="24" t="n">
        <v>108</v>
      </c>
      <c r="D110" s="25">
        <f>L109</f>
        <v/>
      </c>
      <c r="E110" s="26">
        <f>IF(C110&lt;=Parametry!$C$9,Parametry!$C$8,Parametry!$C$10)</f>
        <v/>
      </c>
      <c r="F110" s="25">
        <f>D110*E110/12</f>
        <v/>
      </c>
      <c r="G110" s="25">
        <f>Parametry!$C$7</f>
        <v/>
      </c>
      <c r="H110" s="18" t="n"/>
      <c r="I110" s="19">
        <f>Parametry!$C$7</f>
        <v/>
      </c>
      <c r="J110" s="27">
        <f>G110+IF(ISNUMBER(H110),H110,0)</f>
        <v/>
      </c>
      <c r="K110" s="25">
        <f>MAX(0,J110-F110)</f>
        <v/>
      </c>
      <c r="L110" s="27">
        <f>MAX(0,D110-K110)</f>
        <v/>
      </c>
      <c r="M110" s="28">
        <f>IF(L110&lt;=0,0,MAX(0,ROUNDUP(-LN(1-L110*(E110/12)/Parametry!$C$7)/LN(1+E110/12),0)))</f>
        <v/>
      </c>
    </row>
    <row r="111" ht="18" customHeight="1">
      <c r="A111" s="13" t="n">
        <v>109</v>
      </c>
      <c r="B111" s="14">
        <f>DATE(Parametry!$C$12+INT((Parametry!$C$13+109-2)/12),MOD(Parametry!$C$13+109-2,12)+1,Parametry!$C$11)</f>
        <v/>
      </c>
      <c r="C111" s="15" t="n">
        <v>109</v>
      </c>
      <c r="D111" s="16">
        <f>L110</f>
        <v/>
      </c>
      <c r="E111" s="17">
        <f>IF(C111&lt;=Parametry!$C$9,Parametry!$C$8,Parametry!$C$10)</f>
        <v/>
      </c>
      <c r="F111" s="16">
        <f>D111*E111/12</f>
        <v/>
      </c>
      <c r="G111" s="16">
        <f>Parametry!$C$7</f>
        <v/>
      </c>
      <c r="H111" s="18" t="n"/>
      <c r="I111" s="19">
        <f>Parametry!$C$7</f>
        <v/>
      </c>
      <c r="J111" s="20">
        <f>G111+IF(ISNUMBER(H111),H111,0)</f>
        <v/>
      </c>
      <c r="K111" s="16">
        <f>MAX(0,J111-F111)</f>
        <v/>
      </c>
      <c r="L111" s="20">
        <f>MAX(0,D111-K111)</f>
        <v/>
      </c>
      <c r="M111" s="21">
        <f>IF(L111&lt;=0,0,MAX(0,ROUNDUP(-LN(1-L111*(E111/12)/Parametry!$C$7)/LN(1+E111/12),0)))</f>
        <v/>
      </c>
    </row>
    <row r="112" ht="18" customHeight="1">
      <c r="A112" s="22" t="n">
        <v>110</v>
      </c>
      <c r="B112" s="23">
        <f>DATE(Parametry!$C$12+INT((Parametry!$C$13+110-2)/12),MOD(Parametry!$C$13+110-2,12)+1,Parametry!$C$11)</f>
        <v/>
      </c>
      <c r="C112" s="24" t="n">
        <v>110</v>
      </c>
      <c r="D112" s="25">
        <f>L111</f>
        <v/>
      </c>
      <c r="E112" s="26">
        <f>IF(C112&lt;=Parametry!$C$9,Parametry!$C$8,Parametry!$C$10)</f>
        <v/>
      </c>
      <c r="F112" s="25">
        <f>D112*E112/12</f>
        <v/>
      </c>
      <c r="G112" s="25">
        <f>Parametry!$C$7</f>
        <v/>
      </c>
      <c r="H112" s="18" t="n"/>
      <c r="I112" s="19">
        <f>Parametry!$C$7</f>
        <v/>
      </c>
      <c r="J112" s="27">
        <f>G112+IF(ISNUMBER(H112),H112,0)</f>
        <v/>
      </c>
      <c r="K112" s="25">
        <f>MAX(0,J112-F112)</f>
        <v/>
      </c>
      <c r="L112" s="27">
        <f>MAX(0,D112-K112)</f>
        <v/>
      </c>
      <c r="M112" s="28">
        <f>IF(L112&lt;=0,0,MAX(0,ROUNDUP(-LN(1-L112*(E112/12)/Parametry!$C$7)/LN(1+E112/12),0)))</f>
        <v/>
      </c>
    </row>
    <row r="113" ht="18" customHeight="1">
      <c r="A113" s="13" t="n">
        <v>111</v>
      </c>
      <c r="B113" s="14">
        <f>DATE(Parametry!$C$12+INT((Parametry!$C$13+111-2)/12),MOD(Parametry!$C$13+111-2,12)+1,Parametry!$C$11)</f>
        <v/>
      </c>
      <c r="C113" s="15" t="n">
        <v>111</v>
      </c>
      <c r="D113" s="16">
        <f>L112</f>
        <v/>
      </c>
      <c r="E113" s="17">
        <f>IF(C113&lt;=Parametry!$C$9,Parametry!$C$8,Parametry!$C$10)</f>
        <v/>
      </c>
      <c r="F113" s="16">
        <f>D113*E113/12</f>
        <v/>
      </c>
      <c r="G113" s="16">
        <f>Parametry!$C$7</f>
        <v/>
      </c>
      <c r="H113" s="18" t="n"/>
      <c r="I113" s="19">
        <f>Parametry!$C$7</f>
        <v/>
      </c>
      <c r="J113" s="20">
        <f>G113+IF(ISNUMBER(H113),H113,0)</f>
        <v/>
      </c>
      <c r="K113" s="16">
        <f>MAX(0,J113-F113)</f>
        <v/>
      </c>
      <c r="L113" s="20">
        <f>MAX(0,D113-K113)</f>
        <v/>
      </c>
      <c r="M113" s="21">
        <f>IF(L113&lt;=0,0,MAX(0,ROUNDUP(-LN(1-L113*(E113/12)/Parametry!$C$7)/LN(1+E113/12),0)))</f>
        <v/>
      </c>
    </row>
    <row r="114" ht="18" customHeight="1">
      <c r="A114" s="22" t="n">
        <v>112</v>
      </c>
      <c r="B114" s="23">
        <f>DATE(Parametry!$C$12+INT((Parametry!$C$13+112-2)/12),MOD(Parametry!$C$13+112-2,12)+1,Parametry!$C$11)</f>
        <v/>
      </c>
      <c r="C114" s="24" t="n">
        <v>112</v>
      </c>
      <c r="D114" s="25">
        <f>L113</f>
        <v/>
      </c>
      <c r="E114" s="26">
        <f>IF(C114&lt;=Parametry!$C$9,Parametry!$C$8,Parametry!$C$10)</f>
        <v/>
      </c>
      <c r="F114" s="25">
        <f>D114*E114/12</f>
        <v/>
      </c>
      <c r="G114" s="25">
        <f>Parametry!$C$7</f>
        <v/>
      </c>
      <c r="H114" s="18" t="n"/>
      <c r="I114" s="19">
        <f>Parametry!$C$7</f>
        <v/>
      </c>
      <c r="J114" s="27">
        <f>G114+IF(ISNUMBER(H114),H114,0)</f>
        <v/>
      </c>
      <c r="K114" s="25">
        <f>MAX(0,J114-F114)</f>
        <v/>
      </c>
      <c r="L114" s="27">
        <f>MAX(0,D114-K114)</f>
        <v/>
      </c>
      <c r="M114" s="28">
        <f>IF(L114&lt;=0,0,MAX(0,ROUNDUP(-LN(1-L114*(E114/12)/Parametry!$C$7)/LN(1+E114/12),0)))</f>
        <v/>
      </c>
    </row>
    <row r="115" ht="18" customHeight="1">
      <c r="A115" s="13" t="n">
        <v>113</v>
      </c>
      <c r="B115" s="14">
        <f>DATE(Parametry!$C$12+INT((Parametry!$C$13+113-2)/12),MOD(Parametry!$C$13+113-2,12)+1,Parametry!$C$11)</f>
        <v/>
      </c>
      <c r="C115" s="15" t="n">
        <v>113</v>
      </c>
      <c r="D115" s="16">
        <f>L114</f>
        <v/>
      </c>
      <c r="E115" s="17">
        <f>IF(C115&lt;=Parametry!$C$9,Parametry!$C$8,Parametry!$C$10)</f>
        <v/>
      </c>
      <c r="F115" s="16">
        <f>D115*E115/12</f>
        <v/>
      </c>
      <c r="G115" s="16">
        <f>Parametry!$C$7</f>
        <v/>
      </c>
      <c r="H115" s="18" t="n"/>
      <c r="I115" s="19">
        <f>Parametry!$C$7</f>
        <v/>
      </c>
      <c r="J115" s="20">
        <f>G115+IF(ISNUMBER(H115),H115,0)</f>
        <v/>
      </c>
      <c r="K115" s="16">
        <f>MAX(0,J115-F115)</f>
        <v/>
      </c>
      <c r="L115" s="20">
        <f>MAX(0,D115-K115)</f>
        <v/>
      </c>
      <c r="M115" s="21">
        <f>IF(L115&lt;=0,0,MAX(0,ROUNDUP(-LN(1-L115*(E115/12)/Parametry!$C$7)/LN(1+E115/12),0)))</f>
        <v/>
      </c>
    </row>
    <row r="116" ht="18" customHeight="1">
      <c r="A116" s="22" t="n">
        <v>114</v>
      </c>
      <c r="B116" s="23">
        <f>DATE(Parametry!$C$12+INT((Parametry!$C$13+114-2)/12),MOD(Parametry!$C$13+114-2,12)+1,Parametry!$C$11)</f>
        <v/>
      </c>
      <c r="C116" s="24" t="n">
        <v>114</v>
      </c>
      <c r="D116" s="25">
        <f>L115</f>
        <v/>
      </c>
      <c r="E116" s="26">
        <f>IF(C116&lt;=Parametry!$C$9,Parametry!$C$8,Parametry!$C$10)</f>
        <v/>
      </c>
      <c r="F116" s="25">
        <f>D116*E116/12</f>
        <v/>
      </c>
      <c r="G116" s="25">
        <f>Parametry!$C$7</f>
        <v/>
      </c>
      <c r="H116" s="18" t="n"/>
      <c r="I116" s="19">
        <f>Parametry!$C$7</f>
        <v/>
      </c>
      <c r="J116" s="27">
        <f>G116+IF(ISNUMBER(H116),H116,0)</f>
        <v/>
      </c>
      <c r="K116" s="25">
        <f>MAX(0,J116-F116)</f>
        <v/>
      </c>
      <c r="L116" s="27">
        <f>MAX(0,D116-K116)</f>
        <v/>
      </c>
      <c r="M116" s="28">
        <f>IF(L116&lt;=0,0,MAX(0,ROUNDUP(-LN(1-L116*(E116/12)/Parametry!$C$7)/LN(1+E116/12),0)))</f>
        <v/>
      </c>
    </row>
    <row r="117" ht="18" customHeight="1">
      <c r="A117" s="13" t="n">
        <v>115</v>
      </c>
      <c r="B117" s="14">
        <f>DATE(Parametry!$C$12+INT((Parametry!$C$13+115-2)/12),MOD(Parametry!$C$13+115-2,12)+1,Parametry!$C$11)</f>
        <v/>
      </c>
      <c r="C117" s="15" t="n">
        <v>115</v>
      </c>
      <c r="D117" s="16">
        <f>L116</f>
        <v/>
      </c>
      <c r="E117" s="17">
        <f>IF(C117&lt;=Parametry!$C$9,Parametry!$C$8,Parametry!$C$10)</f>
        <v/>
      </c>
      <c r="F117" s="16">
        <f>D117*E117/12</f>
        <v/>
      </c>
      <c r="G117" s="16">
        <f>Parametry!$C$7</f>
        <v/>
      </c>
      <c r="H117" s="18" t="n"/>
      <c r="I117" s="19">
        <f>Parametry!$C$7</f>
        <v/>
      </c>
      <c r="J117" s="20">
        <f>G117+IF(ISNUMBER(H117),H117,0)</f>
        <v/>
      </c>
      <c r="K117" s="16">
        <f>MAX(0,J117-F117)</f>
        <v/>
      </c>
      <c r="L117" s="20">
        <f>MAX(0,D117-K117)</f>
        <v/>
      </c>
      <c r="M117" s="21">
        <f>IF(L117&lt;=0,0,MAX(0,ROUNDUP(-LN(1-L117*(E117/12)/Parametry!$C$7)/LN(1+E117/12),0)))</f>
        <v/>
      </c>
    </row>
    <row r="118" ht="18" customHeight="1">
      <c r="A118" s="22" t="n">
        <v>116</v>
      </c>
      <c r="B118" s="23">
        <f>DATE(Parametry!$C$12+INT((Parametry!$C$13+116-2)/12),MOD(Parametry!$C$13+116-2,12)+1,Parametry!$C$11)</f>
        <v/>
      </c>
      <c r="C118" s="24" t="n">
        <v>116</v>
      </c>
      <c r="D118" s="25">
        <f>L117</f>
        <v/>
      </c>
      <c r="E118" s="26">
        <f>IF(C118&lt;=Parametry!$C$9,Parametry!$C$8,Parametry!$C$10)</f>
        <v/>
      </c>
      <c r="F118" s="25">
        <f>D118*E118/12</f>
        <v/>
      </c>
      <c r="G118" s="25">
        <f>Parametry!$C$7</f>
        <v/>
      </c>
      <c r="H118" s="18" t="n"/>
      <c r="I118" s="19">
        <f>Parametry!$C$7</f>
        <v/>
      </c>
      <c r="J118" s="27">
        <f>G118+IF(ISNUMBER(H118),H118,0)</f>
        <v/>
      </c>
      <c r="K118" s="25">
        <f>MAX(0,J118-F118)</f>
        <v/>
      </c>
      <c r="L118" s="27">
        <f>MAX(0,D118-K118)</f>
        <v/>
      </c>
      <c r="M118" s="28">
        <f>IF(L118&lt;=0,0,MAX(0,ROUNDUP(-LN(1-L118*(E118/12)/Parametry!$C$7)/LN(1+E118/12),0)))</f>
        <v/>
      </c>
    </row>
    <row r="119" ht="18" customHeight="1">
      <c r="A119" s="13" t="n">
        <v>117</v>
      </c>
      <c r="B119" s="14">
        <f>DATE(Parametry!$C$12+INT((Parametry!$C$13+117-2)/12),MOD(Parametry!$C$13+117-2,12)+1,Parametry!$C$11)</f>
        <v/>
      </c>
      <c r="C119" s="15" t="n">
        <v>117</v>
      </c>
      <c r="D119" s="16">
        <f>L118</f>
        <v/>
      </c>
      <c r="E119" s="17">
        <f>IF(C119&lt;=Parametry!$C$9,Parametry!$C$8,Parametry!$C$10)</f>
        <v/>
      </c>
      <c r="F119" s="16">
        <f>D119*E119/12</f>
        <v/>
      </c>
      <c r="G119" s="16">
        <f>Parametry!$C$7</f>
        <v/>
      </c>
      <c r="H119" s="18" t="n"/>
      <c r="I119" s="19">
        <f>Parametry!$C$7</f>
        <v/>
      </c>
      <c r="J119" s="20">
        <f>G119+IF(ISNUMBER(H119),H119,0)</f>
        <v/>
      </c>
      <c r="K119" s="16">
        <f>MAX(0,J119-F119)</f>
        <v/>
      </c>
      <c r="L119" s="20">
        <f>MAX(0,D119-K119)</f>
        <v/>
      </c>
      <c r="M119" s="21">
        <f>IF(L119&lt;=0,0,MAX(0,ROUNDUP(-LN(1-L119*(E119/12)/Parametry!$C$7)/LN(1+E119/12),0)))</f>
        <v/>
      </c>
    </row>
    <row r="120" ht="18" customHeight="1">
      <c r="A120" s="22" t="n">
        <v>118</v>
      </c>
      <c r="B120" s="23">
        <f>DATE(Parametry!$C$12+INT((Parametry!$C$13+118-2)/12),MOD(Parametry!$C$13+118-2,12)+1,Parametry!$C$11)</f>
        <v/>
      </c>
      <c r="C120" s="24" t="n">
        <v>118</v>
      </c>
      <c r="D120" s="25">
        <f>L119</f>
        <v/>
      </c>
      <c r="E120" s="26">
        <f>IF(C120&lt;=Parametry!$C$9,Parametry!$C$8,Parametry!$C$10)</f>
        <v/>
      </c>
      <c r="F120" s="25">
        <f>D120*E120/12</f>
        <v/>
      </c>
      <c r="G120" s="25">
        <f>Parametry!$C$7</f>
        <v/>
      </c>
      <c r="H120" s="18" t="n"/>
      <c r="I120" s="19">
        <f>Parametry!$C$7</f>
        <v/>
      </c>
      <c r="J120" s="27">
        <f>G120+IF(ISNUMBER(H120),H120,0)</f>
        <v/>
      </c>
      <c r="K120" s="25">
        <f>MAX(0,J120-F120)</f>
        <v/>
      </c>
      <c r="L120" s="27">
        <f>MAX(0,D120-K120)</f>
        <v/>
      </c>
      <c r="M120" s="28">
        <f>IF(L120&lt;=0,0,MAX(0,ROUNDUP(-LN(1-L120*(E120/12)/Parametry!$C$7)/LN(1+E120/12),0)))</f>
        <v/>
      </c>
    </row>
    <row r="121" ht="18" customHeight="1">
      <c r="A121" s="13" t="n">
        <v>119</v>
      </c>
      <c r="B121" s="14">
        <f>DATE(Parametry!$C$12+INT((Parametry!$C$13+119-2)/12),MOD(Parametry!$C$13+119-2,12)+1,Parametry!$C$11)</f>
        <v/>
      </c>
      <c r="C121" s="15" t="n">
        <v>119</v>
      </c>
      <c r="D121" s="16">
        <f>L120</f>
        <v/>
      </c>
      <c r="E121" s="17">
        <f>IF(C121&lt;=Parametry!$C$9,Parametry!$C$8,Parametry!$C$10)</f>
        <v/>
      </c>
      <c r="F121" s="16">
        <f>D121*E121/12</f>
        <v/>
      </c>
      <c r="G121" s="16">
        <f>Parametry!$C$7</f>
        <v/>
      </c>
      <c r="H121" s="18" t="n"/>
      <c r="I121" s="19">
        <f>Parametry!$C$7</f>
        <v/>
      </c>
      <c r="J121" s="20">
        <f>G121+IF(ISNUMBER(H121),H121,0)</f>
        <v/>
      </c>
      <c r="K121" s="16">
        <f>MAX(0,J121-F121)</f>
        <v/>
      </c>
      <c r="L121" s="20">
        <f>MAX(0,D121-K121)</f>
        <v/>
      </c>
      <c r="M121" s="21">
        <f>IF(L121&lt;=0,0,MAX(0,ROUNDUP(-LN(1-L121*(E121/12)/Parametry!$C$7)/LN(1+E121/12),0)))</f>
        <v/>
      </c>
    </row>
    <row r="122" ht="18" customHeight="1">
      <c r="A122" s="22" t="n">
        <v>120</v>
      </c>
      <c r="B122" s="23">
        <f>DATE(Parametry!$C$12+INT((Parametry!$C$13+120-2)/12),MOD(Parametry!$C$13+120-2,12)+1,Parametry!$C$11)</f>
        <v/>
      </c>
      <c r="C122" s="24" t="n">
        <v>120</v>
      </c>
      <c r="D122" s="25">
        <f>L121</f>
        <v/>
      </c>
      <c r="E122" s="26">
        <f>IF(C122&lt;=Parametry!$C$9,Parametry!$C$8,Parametry!$C$10)</f>
        <v/>
      </c>
      <c r="F122" s="25">
        <f>D122*E122/12</f>
        <v/>
      </c>
      <c r="G122" s="25">
        <f>Parametry!$C$7</f>
        <v/>
      </c>
      <c r="H122" s="18" t="n"/>
      <c r="I122" s="19">
        <f>Parametry!$C$7</f>
        <v/>
      </c>
      <c r="J122" s="27">
        <f>G122+IF(ISNUMBER(H122),H122,0)</f>
        <v/>
      </c>
      <c r="K122" s="25">
        <f>MAX(0,J122-F122)</f>
        <v/>
      </c>
      <c r="L122" s="27">
        <f>MAX(0,D122-K122)</f>
        <v/>
      </c>
      <c r="M122" s="28">
        <f>IF(L122&lt;=0,0,MAX(0,ROUNDUP(-LN(1-L122*(E122/12)/Parametry!$C$7)/LN(1+E122/12),0)))</f>
        <v/>
      </c>
    </row>
    <row r="123" ht="18" customHeight="1">
      <c r="A123" s="13" t="n">
        <v>121</v>
      </c>
      <c r="B123" s="14">
        <f>DATE(Parametry!$C$12+INT((Parametry!$C$13+121-2)/12),MOD(Parametry!$C$13+121-2,12)+1,Parametry!$C$11)</f>
        <v/>
      </c>
      <c r="C123" s="15" t="n">
        <v>121</v>
      </c>
      <c r="D123" s="16">
        <f>L122</f>
        <v/>
      </c>
      <c r="E123" s="17">
        <f>IF(C123&lt;=Parametry!$C$9,Parametry!$C$8,Parametry!$C$10)</f>
        <v/>
      </c>
      <c r="F123" s="16">
        <f>D123*E123/12</f>
        <v/>
      </c>
      <c r="G123" s="16">
        <f>Parametry!$C$7</f>
        <v/>
      </c>
      <c r="H123" s="18" t="n"/>
      <c r="I123" s="19">
        <f>Parametry!$C$7</f>
        <v/>
      </c>
      <c r="J123" s="20">
        <f>G123+IF(ISNUMBER(H123),H123,0)</f>
        <v/>
      </c>
      <c r="K123" s="16">
        <f>MAX(0,J123-F123)</f>
        <v/>
      </c>
      <c r="L123" s="20">
        <f>MAX(0,D123-K123)</f>
        <v/>
      </c>
      <c r="M123" s="21">
        <f>IF(L123&lt;=0,0,MAX(0,ROUNDUP(-LN(1-L123*(E123/12)/Parametry!$C$7)/LN(1+E123/12),0)))</f>
        <v/>
      </c>
    </row>
    <row r="124" ht="18" customHeight="1">
      <c r="A124" s="22" t="n">
        <v>122</v>
      </c>
      <c r="B124" s="23">
        <f>DATE(Parametry!$C$12+INT((Parametry!$C$13+122-2)/12),MOD(Parametry!$C$13+122-2,12)+1,Parametry!$C$11)</f>
        <v/>
      </c>
      <c r="C124" s="24" t="n">
        <v>122</v>
      </c>
      <c r="D124" s="25">
        <f>L123</f>
        <v/>
      </c>
      <c r="E124" s="26">
        <f>IF(C124&lt;=Parametry!$C$9,Parametry!$C$8,Parametry!$C$10)</f>
        <v/>
      </c>
      <c r="F124" s="25">
        <f>D124*E124/12</f>
        <v/>
      </c>
      <c r="G124" s="25">
        <f>Parametry!$C$7</f>
        <v/>
      </c>
      <c r="H124" s="18" t="n"/>
      <c r="I124" s="19">
        <f>Parametry!$C$7</f>
        <v/>
      </c>
      <c r="J124" s="27">
        <f>G124+IF(ISNUMBER(H124),H124,0)</f>
        <v/>
      </c>
      <c r="K124" s="25">
        <f>MAX(0,J124-F124)</f>
        <v/>
      </c>
      <c r="L124" s="27">
        <f>MAX(0,D124-K124)</f>
        <v/>
      </c>
      <c r="M124" s="28">
        <f>IF(L124&lt;=0,0,MAX(0,ROUNDUP(-LN(1-L124*(E124/12)/Parametry!$C$7)/LN(1+E124/12),0)))</f>
        <v/>
      </c>
    </row>
    <row r="125" ht="18" customHeight="1">
      <c r="A125" s="13" t="n">
        <v>123</v>
      </c>
      <c r="B125" s="14">
        <f>DATE(Parametry!$C$12+INT((Parametry!$C$13+123-2)/12),MOD(Parametry!$C$13+123-2,12)+1,Parametry!$C$11)</f>
        <v/>
      </c>
      <c r="C125" s="15" t="n">
        <v>123</v>
      </c>
      <c r="D125" s="16">
        <f>L124</f>
        <v/>
      </c>
      <c r="E125" s="17">
        <f>IF(C125&lt;=Parametry!$C$9,Parametry!$C$8,Parametry!$C$10)</f>
        <v/>
      </c>
      <c r="F125" s="16">
        <f>D125*E125/12</f>
        <v/>
      </c>
      <c r="G125" s="16">
        <f>Parametry!$C$7</f>
        <v/>
      </c>
      <c r="H125" s="18" t="n"/>
      <c r="I125" s="19">
        <f>Parametry!$C$7</f>
        <v/>
      </c>
      <c r="J125" s="20">
        <f>G125+IF(ISNUMBER(H125),H125,0)</f>
        <v/>
      </c>
      <c r="K125" s="16">
        <f>MAX(0,J125-F125)</f>
        <v/>
      </c>
      <c r="L125" s="20">
        <f>MAX(0,D125-K125)</f>
        <v/>
      </c>
      <c r="M125" s="21">
        <f>IF(L125&lt;=0,0,MAX(0,ROUNDUP(-LN(1-L125*(E125/12)/Parametry!$C$7)/LN(1+E125/12),0)))</f>
        <v/>
      </c>
    </row>
    <row r="126" ht="18" customHeight="1">
      <c r="A126" s="22" t="n">
        <v>124</v>
      </c>
      <c r="B126" s="23">
        <f>DATE(Parametry!$C$12+INT((Parametry!$C$13+124-2)/12),MOD(Parametry!$C$13+124-2,12)+1,Parametry!$C$11)</f>
        <v/>
      </c>
      <c r="C126" s="24" t="n">
        <v>124</v>
      </c>
      <c r="D126" s="25">
        <f>L125</f>
        <v/>
      </c>
      <c r="E126" s="26">
        <f>IF(C126&lt;=Parametry!$C$9,Parametry!$C$8,Parametry!$C$10)</f>
        <v/>
      </c>
      <c r="F126" s="25">
        <f>D126*E126/12</f>
        <v/>
      </c>
      <c r="G126" s="25">
        <f>Parametry!$C$7</f>
        <v/>
      </c>
      <c r="H126" s="18" t="n"/>
      <c r="I126" s="19">
        <f>Parametry!$C$7</f>
        <v/>
      </c>
      <c r="J126" s="27">
        <f>G126+IF(ISNUMBER(H126),H126,0)</f>
        <v/>
      </c>
      <c r="K126" s="25">
        <f>MAX(0,J126-F126)</f>
        <v/>
      </c>
      <c r="L126" s="27">
        <f>MAX(0,D126-K126)</f>
        <v/>
      </c>
      <c r="M126" s="28">
        <f>IF(L126&lt;=0,0,MAX(0,ROUNDUP(-LN(1-L126*(E126/12)/Parametry!$C$7)/LN(1+E126/12),0)))</f>
        <v/>
      </c>
    </row>
    <row r="127" ht="18" customHeight="1">
      <c r="A127" s="13" t="n">
        <v>125</v>
      </c>
      <c r="B127" s="14">
        <f>DATE(Parametry!$C$12+INT((Parametry!$C$13+125-2)/12),MOD(Parametry!$C$13+125-2,12)+1,Parametry!$C$11)</f>
        <v/>
      </c>
      <c r="C127" s="15" t="n">
        <v>125</v>
      </c>
      <c r="D127" s="16">
        <f>L126</f>
        <v/>
      </c>
      <c r="E127" s="17">
        <f>IF(C127&lt;=Parametry!$C$9,Parametry!$C$8,Parametry!$C$10)</f>
        <v/>
      </c>
      <c r="F127" s="16">
        <f>D127*E127/12</f>
        <v/>
      </c>
      <c r="G127" s="16">
        <f>Parametry!$C$7</f>
        <v/>
      </c>
      <c r="H127" s="18" t="n"/>
      <c r="I127" s="19">
        <f>Parametry!$C$7</f>
        <v/>
      </c>
      <c r="J127" s="20">
        <f>G127+IF(ISNUMBER(H127),H127,0)</f>
        <v/>
      </c>
      <c r="K127" s="16">
        <f>MAX(0,J127-F127)</f>
        <v/>
      </c>
      <c r="L127" s="20">
        <f>MAX(0,D127-K127)</f>
        <v/>
      </c>
      <c r="M127" s="21">
        <f>IF(L127&lt;=0,0,MAX(0,ROUNDUP(-LN(1-L127*(E127/12)/Parametry!$C$7)/LN(1+E127/12),0)))</f>
        <v/>
      </c>
    </row>
    <row r="128" ht="18" customHeight="1">
      <c r="A128" s="22" t="n">
        <v>126</v>
      </c>
      <c r="B128" s="23">
        <f>DATE(Parametry!$C$12+INT((Parametry!$C$13+126-2)/12),MOD(Parametry!$C$13+126-2,12)+1,Parametry!$C$11)</f>
        <v/>
      </c>
      <c r="C128" s="24" t="n">
        <v>126</v>
      </c>
      <c r="D128" s="25">
        <f>L127</f>
        <v/>
      </c>
      <c r="E128" s="26">
        <f>IF(C128&lt;=Parametry!$C$9,Parametry!$C$8,Parametry!$C$10)</f>
        <v/>
      </c>
      <c r="F128" s="25">
        <f>D128*E128/12</f>
        <v/>
      </c>
      <c r="G128" s="25">
        <f>Parametry!$C$7</f>
        <v/>
      </c>
      <c r="H128" s="18" t="n"/>
      <c r="I128" s="19">
        <f>Parametry!$C$7</f>
        <v/>
      </c>
      <c r="J128" s="27">
        <f>G128+IF(ISNUMBER(H128),H128,0)</f>
        <v/>
      </c>
      <c r="K128" s="25">
        <f>MAX(0,J128-F128)</f>
        <v/>
      </c>
      <c r="L128" s="27">
        <f>MAX(0,D128-K128)</f>
        <v/>
      </c>
      <c r="M128" s="28">
        <f>IF(L128&lt;=0,0,MAX(0,ROUNDUP(-LN(1-L128*(E128/12)/Parametry!$C$7)/LN(1+E128/12),0)))</f>
        <v/>
      </c>
    </row>
    <row r="129" ht="18" customHeight="1">
      <c r="A129" s="13" t="n">
        <v>127</v>
      </c>
      <c r="B129" s="14">
        <f>DATE(Parametry!$C$12+INT((Parametry!$C$13+127-2)/12),MOD(Parametry!$C$13+127-2,12)+1,Parametry!$C$11)</f>
        <v/>
      </c>
      <c r="C129" s="15" t="n">
        <v>127</v>
      </c>
      <c r="D129" s="16">
        <f>L128</f>
        <v/>
      </c>
      <c r="E129" s="17">
        <f>IF(C129&lt;=Parametry!$C$9,Parametry!$C$8,Parametry!$C$10)</f>
        <v/>
      </c>
      <c r="F129" s="16">
        <f>D129*E129/12</f>
        <v/>
      </c>
      <c r="G129" s="16">
        <f>Parametry!$C$7</f>
        <v/>
      </c>
      <c r="H129" s="18" t="n"/>
      <c r="I129" s="19">
        <f>Parametry!$C$7</f>
        <v/>
      </c>
      <c r="J129" s="20">
        <f>G129+IF(ISNUMBER(H129),H129,0)</f>
        <v/>
      </c>
      <c r="K129" s="16">
        <f>MAX(0,J129-F129)</f>
        <v/>
      </c>
      <c r="L129" s="20">
        <f>MAX(0,D129-K129)</f>
        <v/>
      </c>
      <c r="M129" s="21">
        <f>IF(L129&lt;=0,0,MAX(0,ROUNDUP(-LN(1-L129*(E129/12)/Parametry!$C$7)/LN(1+E129/12),0)))</f>
        <v/>
      </c>
    </row>
    <row r="130" ht="18" customHeight="1">
      <c r="A130" s="22" t="n">
        <v>128</v>
      </c>
      <c r="B130" s="23">
        <f>DATE(Parametry!$C$12+INT((Parametry!$C$13+128-2)/12),MOD(Parametry!$C$13+128-2,12)+1,Parametry!$C$11)</f>
        <v/>
      </c>
      <c r="C130" s="24" t="n">
        <v>128</v>
      </c>
      <c r="D130" s="25">
        <f>L129</f>
        <v/>
      </c>
      <c r="E130" s="26">
        <f>IF(C130&lt;=Parametry!$C$9,Parametry!$C$8,Parametry!$C$10)</f>
        <v/>
      </c>
      <c r="F130" s="25">
        <f>D130*E130/12</f>
        <v/>
      </c>
      <c r="G130" s="25">
        <f>Parametry!$C$7</f>
        <v/>
      </c>
      <c r="H130" s="18" t="n"/>
      <c r="I130" s="19">
        <f>Parametry!$C$7</f>
        <v/>
      </c>
      <c r="J130" s="27">
        <f>G130+IF(ISNUMBER(H130),H130,0)</f>
        <v/>
      </c>
      <c r="K130" s="25">
        <f>MAX(0,J130-F130)</f>
        <v/>
      </c>
      <c r="L130" s="27">
        <f>MAX(0,D130-K130)</f>
        <v/>
      </c>
      <c r="M130" s="28">
        <f>IF(L130&lt;=0,0,MAX(0,ROUNDUP(-LN(1-L130*(E130/12)/Parametry!$C$7)/LN(1+E130/12),0)))</f>
        <v/>
      </c>
    </row>
    <row r="131" ht="18" customHeight="1">
      <c r="A131" s="13" t="n">
        <v>129</v>
      </c>
      <c r="B131" s="14">
        <f>DATE(Parametry!$C$12+INT((Parametry!$C$13+129-2)/12),MOD(Parametry!$C$13+129-2,12)+1,Parametry!$C$11)</f>
        <v/>
      </c>
      <c r="C131" s="15" t="n">
        <v>129</v>
      </c>
      <c r="D131" s="16">
        <f>L130</f>
        <v/>
      </c>
      <c r="E131" s="17">
        <f>IF(C131&lt;=Parametry!$C$9,Parametry!$C$8,Parametry!$C$10)</f>
        <v/>
      </c>
      <c r="F131" s="16">
        <f>D131*E131/12</f>
        <v/>
      </c>
      <c r="G131" s="16">
        <f>Parametry!$C$7</f>
        <v/>
      </c>
      <c r="H131" s="18" t="n"/>
      <c r="I131" s="19">
        <f>Parametry!$C$7</f>
        <v/>
      </c>
      <c r="J131" s="20">
        <f>G131+IF(ISNUMBER(H131),H131,0)</f>
        <v/>
      </c>
      <c r="K131" s="16">
        <f>MAX(0,J131-F131)</f>
        <v/>
      </c>
      <c r="L131" s="20">
        <f>MAX(0,D131-K131)</f>
        <v/>
      </c>
      <c r="M131" s="21">
        <f>IF(L131&lt;=0,0,MAX(0,ROUNDUP(-LN(1-L131*(E131/12)/Parametry!$C$7)/LN(1+E131/12),0)))</f>
        <v/>
      </c>
    </row>
    <row r="132" ht="18" customHeight="1">
      <c r="A132" s="22" t="n">
        <v>130</v>
      </c>
      <c r="B132" s="23">
        <f>DATE(Parametry!$C$12+INT((Parametry!$C$13+130-2)/12),MOD(Parametry!$C$13+130-2,12)+1,Parametry!$C$11)</f>
        <v/>
      </c>
      <c r="C132" s="24" t="n">
        <v>130</v>
      </c>
      <c r="D132" s="25">
        <f>L131</f>
        <v/>
      </c>
      <c r="E132" s="26">
        <f>IF(C132&lt;=Parametry!$C$9,Parametry!$C$8,Parametry!$C$10)</f>
        <v/>
      </c>
      <c r="F132" s="25">
        <f>D132*E132/12</f>
        <v/>
      </c>
      <c r="G132" s="25">
        <f>Parametry!$C$7</f>
        <v/>
      </c>
      <c r="H132" s="18" t="n"/>
      <c r="I132" s="19">
        <f>Parametry!$C$7</f>
        <v/>
      </c>
      <c r="J132" s="27">
        <f>G132+IF(ISNUMBER(H132),H132,0)</f>
        <v/>
      </c>
      <c r="K132" s="25">
        <f>MAX(0,J132-F132)</f>
        <v/>
      </c>
      <c r="L132" s="27">
        <f>MAX(0,D132-K132)</f>
        <v/>
      </c>
      <c r="M132" s="28">
        <f>IF(L132&lt;=0,0,MAX(0,ROUNDUP(-LN(1-L132*(E132/12)/Parametry!$C$7)/LN(1+E132/12),0)))</f>
        <v/>
      </c>
    </row>
    <row r="133" ht="18" customHeight="1">
      <c r="A133" s="13" t="n">
        <v>131</v>
      </c>
      <c r="B133" s="14">
        <f>DATE(Parametry!$C$12+INT((Parametry!$C$13+131-2)/12),MOD(Parametry!$C$13+131-2,12)+1,Parametry!$C$11)</f>
        <v/>
      </c>
      <c r="C133" s="15" t="n">
        <v>131</v>
      </c>
      <c r="D133" s="16">
        <f>L132</f>
        <v/>
      </c>
      <c r="E133" s="17">
        <f>IF(C133&lt;=Parametry!$C$9,Parametry!$C$8,Parametry!$C$10)</f>
        <v/>
      </c>
      <c r="F133" s="16">
        <f>D133*E133/12</f>
        <v/>
      </c>
      <c r="G133" s="16">
        <f>Parametry!$C$7</f>
        <v/>
      </c>
      <c r="H133" s="18" t="n"/>
      <c r="I133" s="19">
        <f>Parametry!$C$7</f>
        <v/>
      </c>
      <c r="J133" s="20">
        <f>G133+IF(ISNUMBER(H133),H133,0)</f>
        <v/>
      </c>
      <c r="K133" s="16">
        <f>MAX(0,J133-F133)</f>
        <v/>
      </c>
      <c r="L133" s="20">
        <f>MAX(0,D133-K133)</f>
        <v/>
      </c>
      <c r="M133" s="21">
        <f>IF(L133&lt;=0,0,MAX(0,ROUNDUP(-LN(1-L133*(E133/12)/Parametry!$C$7)/LN(1+E133/12),0)))</f>
        <v/>
      </c>
    </row>
    <row r="134" ht="18" customHeight="1">
      <c r="A134" s="22" t="n">
        <v>132</v>
      </c>
      <c r="B134" s="23">
        <f>DATE(Parametry!$C$12+INT((Parametry!$C$13+132-2)/12),MOD(Parametry!$C$13+132-2,12)+1,Parametry!$C$11)</f>
        <v/>
      </c>
      <c r="C134" s="24" t="n">
        <v>132</v>
      </c>
      <c r="D134" s="25">
        <f>L133</f>
        <v/>
      </c>
      <c r="E134" s="26">
        <f>IF(C134&lt;=Parametry!$C$9,Parametry!$C$8,Parametry!$C$10)</f>
        <v/>
      </c>
      <c r="F134" s="25">
        <f>D134*E134/12</f>
        <v/>
      </c>
      <c r="G134" s="25">
        <f>Parametry!$C$7</f>
        <v/>
      </c>
      <c r="H134" s="18" t="n"/>
      <c r="I134" s="19">
        <f>Parametry!$C$7</f>
        <v/>
      </c>
      <c r="J134" s="27">
        <f>G134+IF(ISNUMBER(H134),H134,0)</f>
        <v/>
      </c>
      <c r="K134" s="25">
        <f>MAX(0,J134-F134)</f>
        <v/>
      </c>
      <c r="L134" s="27">
        <f>MAX(0,D134-K134)</f>
        <v/>
      </c>
      <c r="M134" s="28">
        <f>IF(L134&lt;=0,0,MAX(0,ROUNDUP(-LN(1-L134*(E134/12)/Parametry!$C$7)/LN(1+E134/12),0)))</f>
        <v/>
      </c>
    </row>
    <row r="135" ht="18" customHeight="1">
      <c r="A135" s="13" t="n">
        <v>133</v>
      </c>
      <c r="B135" s="14">
        <f>DATE(Parametry!$C$12+INT((Parametry!$C$13+133-2)/12),MOD(Parametry!$C$13+133-2,12)+1,Parametry!$C$11)</f>
        <v/>
      </c>
      <c r="C135" s="15" t="n">
        <v>133</v>
      </c>
      <c r="D135" s="16">
        <f>L134</f>
        <v/>
      </c>
      <c r="E135" s="17">
        <f>IF(C135&lt;=Parametry!$C$9,Parametry!$C$8,Parametry!$C$10)</f>
        <v/>
      </c>
      <c r="F135" s="16">
        <f>D135*E135/12</f>
        <v/>
      </c>
      <c r="G135" s="16">
        <f>Parametry!$C$7</f>
        <v/>
      </c>
      <c r="H135" s="18" t="n"/>
      <c r="I135" s="19">
        <f>Parametry!$C$7</f>
        <v/>
      </c>
      <c r="J135" s="20">
        <f>G135+IF(ISNUMBER(H135),H135,0)</f>
        <v/>
      </c>
      <c r="K135" s="16">
        <f>MAX(0,J135-F135)</f>
        <v/>
      </c>
      <c r="L135" s="20">
        <f>MAX(0,D135-K135)</f>
        <v/>
      </c>
      <c r="M135" s="21">
        <f>IF(L135&lt;=0,0,MAX(0,ROUNDUP(-LN(1-L135*(E135/12)/Parametry!$C$7)/LN(1+E135/12),0)))</f>
        <v/>
      </c>
    </row>
    <row r="136" ht="18" customHeight="1">
      <c r="A136" s="22" t="n">
        <v>134</v>
      </c>
      <c r="B136" s="23">
        <f>DATE(Parametry!$C$12+INT((Parametry!$C$13+134-2)/12),MOD(Parametry!$C$13+134-2,12)+1,Parametry!$C$11)</f>
        <v/>
      </c>
      <c r="C136" s="24" t="n">
        <v>134</v>
      </c>
      <c r="D136" s="25">
        <f>L135</f>
        <v/>
      </c>
      <c r="E136" s="26">
        <f>IF(C136&lt;=Parametry!$C$9,Parametry!$C$8,Parametry!$C$10)</f>
        <v/>
      </c>
      <c r="F136" s="25">
        <f>D136*E136/12</f>
        <v/>
      </c>
      <c r="G136" s="25">
        <f>Parametry!$C$7</f>
        <v/>
      </c>
      <c r="H136" s="18" t="n"/>
      <c r="I136" s="19">
        <f>Parametry!$C$7</f>
        <v/>
      </c>
      <c r="J136" s="27">
        <f>G136+IF(ISNUMBER(H136),H136,0)</f>
        <v/>
      </c>
      <c r="K136" s="25">
        <f>MAX(0,J136-F136)</f>
        <v/>
      </c>
      <c r="L136" s="27">
        <f>MAX(0,D136-K136)</f>
        <v/>
      </c>
      <c r="M136" s="28">
        <f>IF(L136&lt;=0,0,MAX(0,ROUNDUP(-LN(1-L136*(E136/12)/Parametry!$C$7)/LN(1+E136/12),0)))</f>
        <v/>
      </c>
    </row>
    <row r="137" ht="18" customHeight="1">
      <c r="A137" s="13" t="n">
        <v>135</v>
      </c>
      <c r="B137" s="14">
        <f>DATE(Parametry!$C$12+INT((Parametry!$C$13+135-2)/12),MOD(Parametry!$C$13+135-2,12)+1,Parametry!$C$11)</f>
        <v/>
      </c>
      <c r="C137" s="15" t="n">
        <v>135</v>
      </c>
      <c r="D137" s="16">
        <f>L136</f>
        <v/>
      </c>
      <c r="E137" s="17">
        <f>IF(C137&lt;=Parametry!$C$9,Parametry!$C$8,Parametry!$C$10)</f>
        <v/>
      </c>
      <c r="F137" s="16">
        <f>D137*E137/12</f>
        <v/>
      </c>
      <c r="G137" s="16">
        <f>Parametry!$C$7</f>
        <v/>
      </c>
      <c r="H137" s="18" t="n"/>
      <c r="I137" s="19">
        <f>Parametry!$C$7</f>
        <v/>
      </c>
      <c r="J137" s="20">
        <f>G137+IF(ISNUMBER(H137),H137,0)</f>
        <v/>
      </c>
      <c r="K137" s="16">
        <f>MAX(0,J137-F137)</f>
        <v/>
      </c>
      <c r="L137" s="20">
        <f>MAX(0,D137-K137)</f>
        <v/>
      </c>
      <c r="M137" s="21">
        <f>IF(L137&lt;=0,0,MAX(0,ROUNDUP(-LN(1-L137*(E137/12)/Parametry!$C$7)/LN(1+E137/12),0)))</f>
        <v/>
      </c>
    </row>
    <row r="138" ht="18" customHeight="1">
      <c r="A138" s="22" t="n">
        <v>136</v>
      </c>
      <c r="B138" s="23">
        <f>DATE(Parametry!$C$12+INT((Parametry!$C$13+136-2)/12),MOD(Parametry!$C$13+136-2,12)+1,Parametry!$C$11)</f>
        <v/>
      </c>
      <c r="C138" s="24" t="n">
        <v>136</v>
      </c>
      <c r="D138" s="25">
        <f>L137</f>
        <v/>
      </c>
      <c r="E138" s="26">
        <f>IF(C138&lt;=Parametry!$C$9,Parametry!$C$8,Parametry!$C$10)</f>
        <v/>
      </c>
      <c r="F138" s="25">
        <f>D138*E138/12</f>
        <v/>
      </c>
      <c r="G138" s="25">
        <f>Parametry!$C$7</f>
        <v/>
      </c>
      <c r="H138" s="18" t="n"/>
      <c r="I138" s="19">
        <f>Parametry!$C$7</f>
        <v/>
      </c>
      <c r="J138" s="27">
        <f>G138+IF(ISNUMBER(H138),H138,0)</f>
        <v/>
      </c>
      <c r="K138" s="25">
        <f>MAX(0,J138-F138)</f>
        <v/>
      </c>
      <c r="L138" s="27">
        <f>MAX(0,D138-K138)</f>
        <v/>
      </c>
      <c r="M138" s="28">
        <f>IF(L138&lt;=0,0,MAX(0,ROUNDUP(-LN(1-L138*(E138/12)/Parametry!$C$7)/LN(1+E138/12),0)))</f>
        <v/>
      </c>
    </row>
    <row r="139" ht="18" customHeight="1">
      <c r="A139" s="13" t="n">
        <v>137</v>
      </c>
      <c r="B139" s="14">
        <f>DATE(Parametry!$C$12+INT((Parametry!$C$13+137-2)/12),MOD(Parametry!$C$13+137-2,12)+1,Parametry!$C$11)</f>
        <v/>
      </c>
      <c r="C139" s="15" t="n">
        <v>137</v>
      </c>
      <c r="D139" s="16">
        <f>L138</f>
        <v/>
      </c>
      <c r="E139" s="17">
        <f>IF(C139&lt;=Parametry!$C$9,Parametry!$C$8,Parametry!$C$10)</f>
        <v/>
      </c>
      <c r="F139" s="16">
        <f>D139*E139/12</f>
        <v/>
      </c>
      <c r="G139" s="16">
        <f>Parametry!$C$7</f>
        <v/>
      </c>
      <c r="H139" s="18" t="n"/>
      <c r="I139" s="19">
        <f>Parametry!$C$7</f>
        <v/>
      </c>
      <c r="J139" s="20">
        <f>G139+IF(ISNUMBER(H139),H139,0)</f>
        <v/>
      </c>
      <c r="K139" s="16">
        <f>MAX(0,J139-F139)</f>
        <v/>
      </c>
      <c r="L139" s="20">
        <f>MAX(0,D139-K139)</f>
        <v/>
      </c>
      <c r="M139" s="21">
        <f>IF(L139&lt;=0,0,MAX(0,ROUNDUP(-LN(1-L139*(E139/12)/Parametry!$C$7)/LN(1+E139/12),0)))</f>
        <v/>
      </c>
    </row>
    <row r="140" ht="18" customHeight="1">
      <c r="A140" s="22" t="n">
        <v>138</v>
      </c>
      <c r="B140" s="23">
        <f>DATE(Parametry!$C$12+INT((Parametry!$C$13+138-2)/12),MOD(Parametry!$C$13+138-2,12)+1,Parametry!$C$11)</f>
        <v/>
      </c>
      <c r="C140" s="24" t="n">
        <v>138</v>
      </c>
      <c r="D140" s="25">
        <f>L139</f>
        <v/>
      </c>
      <c r="E140" s="26">
        <f>IF(C140&lt;=Parametry!$C$9,Parametry!$C$8,Parametry!$C$10)</f>
        <v/>
      </c>
      <c r="F140" s="25">
        <f>D140*E140/12</f>
        <v/>
      </c>
      <c r="G140" s="25">
        <f>Parametry!$C$7</f>
        <v/>
      </c>
      <c r="H140" s="18" t="n"/>
      <c r="I140" s="19">
        <f>Parametry!$C$7</f>
        <v/>
      </c>
      <c r="J140" s="27">
        <f>G140+IF(ISNUMBER(H140),H140,0)</f>
        <v/>
      </c>
      <c r="K140" s="25">
        <f>MAX(0,J140-F140)</f>
        <v/>
      </c>
      <c r="L140" s="27">
        <f>MAX(0,D140-K140)</f>
        <v/>
      </c>
      <c r="M140" s="28">
        <f>IF(L140&lt;=0,0,MAX(0,ROUNDUP(-LN(1-L140*(E140/12)/Parametry!$C$7)/LN(1+E140/12),0)))</f>
        <v/>
      </c>
    </row>
    <row r="141" ht="18" customHeight="1">
      <c r="A141" s="13" t="n">
        <v>139</v>
      </c>
      <c r="B141" s="14">
        <f>DATE(Parametry!$C$12+INT((Parametry!$C$13+139-2)/12),MOD(Parametry!$C$13+139-2,12)+1,Parametry!$C$11)</f>
        <v/>
      </c>
      <c r="C141" s="15" t="n">
        <v>139</v>
      </c>
      <c r="D141" s="16">
        <f>L140</f>
        <v/>
      </c>
      <c r="E141" s="17">
        <f>IF(C141&lt;=Parametry!$C$9,Parametry!$C$8,Parametry!$C$10)</f>
        <v/>
      </c>
      <c r="F141" s="16">
        <f>D141*E141/12</f>
        <v/>
      </c>
      <c r="G141" s="16">
        <f>Parametry!$C$7</f>
        <v/>
      </c>
      <c r="H141" s="18" t="n"/>
      <c r="I141" s="19">
        <f>Parametry!$C$7</f>
        <v/>
      </c>
      <c r="J141" s="20">
        <f>G141+IF(ISNUMBER(H141),H141,0)</f>
        <v/>
      </c>
      <c r="K141" s="16">
        <f>MAX(0,J141-F141)</f>
        <v/>
      </c>
      <c r="L141" s="20">
        <f>MAX(0,D141-K141)</f>
        <v/>
      </c>
      <c r="M141" s="21">
        <f>IF(L141&lt;=0,0,MAX(0,ROUNDUP(-LN(1-L141*(E141/12)/Parametry!$C$7)/LN(1+E141/12),0)))</f>
        <v/>
      </c>
    </row>
    <row r="142" ht="18" customHeight="1">
      <c r="A142" s="22" t="n">
        <v>140</v>
      </c>
      <c r="B142" s="23">
        <f>DATE(Parametry!$C$12+INT((Parametry!$C$13+140-2)/12),MOD(Parametry!$C$13+140-2,12)+1,Parametry!$C$11)</f>
        <v/>
      </c>
      <c r="C142" s="24" t="n">
        <v>140</v>
      </c>
      <c r="D142" s="25">
        <f>L141</f>
        <v/>
      </c>
      <c r="E142" s="26">
        <f>IF(C142&lt;=Parametry!$C$9,Parametry!$C$8,Parametry!$C$10)</f>
        <v/>
      </c>
      <c r="F142" s="25">
        <f>D142*E142/12</f>
        <v/>
      </c>
      <c r="G142" s="25">
        <f>Parametry!$C$7</f>
        <v/>
      </c>
      <c r="H142" s="18" t="n"/>
      <c r="I142" s="19">
        <f>Parametry!$C$7</f>
        <v/>
      </c>
      <c r="J142" s="27">
        <f>G142+IF(ISNUMBER(H142),H142,0)</f>
        <v/>
      </c>
      <c r="K142" s="25">
        <f>MAX(0,J142-F142)</f>
        <v/>
      </c>
      <c r="L142" s="27">
        <f>MAX(0,D142-K142)</f>
        <v/>
      </c>
      <c r="M142" s="28">
        <f>IF(L142&lt;=0,0,MAX(0,ROUNDUP(-LN(1-L142*(E142/12)/Parametry!$C$7)/LN(1+E142/12),0)))</f>
        <v/>
      </c>
    </row>
    <row r="143" ht="18" customHeight="1">
      <c r="A143" s="13" t="n">
        <v>141</v>
      </c>
      <c r="B143" s="14">
        <f>DATE(Parametry!$C$12+INT((Parametry!$C$13+141-2)/12),MOD(Parametry!$C$13+141-2,12)+1,Parametry!$C$11)</f>
        <v/>
      </c>
      <c r="C143" s="15" t="n">
        <v>141</v>
      </c>
      <c r="D143" s="16">
        <f>L142</f>
        <v/>
      </c>
      <c r="E143" s="17">
        <f>IF(C143&lt;=Parametry!$C$9,Parametry!$C$8,Parametry!$C$10)</f>
        <v/>
      </c>
      <c r="F143" s="16">
        <f>D143*E143/12</f>
        <v/>
      </c>
      <c r="G143" s="16">
        <f>Parametry!$C$7</f>
        <v/>
      </c>
      <c r="H143" s="18" t="n"/>
      <c r="I143" s="19">
        <f>Parametry!$C$7</f>
        <v/>
      </c>
      <c r="J143" s="20">
        <f>G143+IF(ISNUMBER(H143),H143,0)</f>
        <v/>
      </c>
      <c r="K143" s="16">
        <f>MAX(0,J143-F143)</f>
        <v/>
      </c>
      <c r="L143" s="20">
        <f>MAX(0,D143-K143)</f>
        <v/>
      </c>
      <c r="M143" s="21">
        <f>IF(L143&lt;=0,0,MAX(0,ROUNDUP(-LN(1-L143*(E143/12)/Parametry!$C$7)/LN(1+E143/12),0)))</f>
        <v/>
      </c>
    </row>
    <row r="144" ht="18" customHeight="1">
      <c r="A144" s="22" t="n">
        <v>142</v>
      </c>
      <c r="B144" s="23">
        <f>DATE(Parametry!$C$12+INT((Parametry!$C$13+142-2)/12),MOD(Parametry!$C$13+142-2,12)+1,Parametry!$C$11)</f>
        <v/>
      </c>
      <c r="C144" s="24" t="n">
        <v>142</v>
      </c>
      <c r="D144" s="25">
        <f>L143</f>
        <v/>
      </c>
      <c r="E144" s="26">
        <f>IF(C144&lt;=Parametry!$C$9,Parametry!$C$8,Parametry!$C$10)</f>
        <v/>
      </c>
      <c r="F144" s="25">
        <f>D144*E144/12</f>
        <v/>
      </c>
      <c r="G144" s="25">
        <f>Parametry!$C$7</f>
        <v/>
      </c>
      <c r="H144" s="18" t="n"/>
      <c r="I144" s="19">
        <f>Parametry!$C$7</f>
        <v/>
      </c>
      <c r="J144" s="27">
        <f>G144+IF(ISNUMBER(H144),H144,0)</f>
        <v/>
      </c>
      <c r="K144" s="25">
        <f>MAX(0,J144-F144)</f>
        <v/>
      </c>
      <c r="L144" s="27">
        <f>MAX(0,D144-K144)</f>
        <v/>
      </c>
      <c r="M144" s="28">
        <f>IF(L144&lt;=0,0,MAX(0,ROUNDUP(-LN(1-L144*(E144/12)/Parametry!$C$7)/LN(1+E144/12),0)))</f>
        <v/>
      </c>
    </row>
    <row r="145" ht="18" customHeight="1">
      <c r="A145" s="13" t="n">
        <v>143</v>
      </c>
      <c r="B145" s="14">
        <f>DATE(Parametry!$C$12+INT((Parametry!$C$13+143-2)/12),MOD(Parametry!$C$13+143-2,12)+1,Parametry!$C$11)</f>
        <v/>
      </c>
      <c r="C145" s="15" t="n">
        <v>143</v>
      </c>
      <c r="D145" s="16">
        <f>L144</f>
        <v/>
      </c>
      <c r="E145" s="17">
        <f>IF(C145&lt;=Parametry!$C$9,Parametry!$C$8,Parametry!$C$10)</f>
        <v/>
      </c>
      <c r="F145" s="16">
        <f>D145*E145/12</f>
        <v/>
      </c>
      <c r="G145" s="16">
        <f>Parametry!$C$7</f>
        <v/>
      </c>
      <c r="H145" s="18" t="n"/>
      <c r="I145" s="19">
        <f>Parametry!$C$7</f>
        <v/>
      </c>
      <c r="J145" s="20">
        <f>G145+IF(ISNUMBER(H145),H145,0)</f>
        <v/>
      </c>
      <c r="K145" s="16">
        <f>MAX(0,J145-F145)</f>
        <v/>
      </c>
      <c r="L145" s="20">
        <f>MAX(0,D145-K145)</f>
        <v/>
      </c>
      <c r="M145" s="21">
        <f>IF(L145&lt;=0,0,MAX(0,ROUNDUP(-LN(1-L145*(E145/12)/Parametry!$C$7)/LN(1+E145/12),0)))</f>
        <v/>
      </c>
    </row>
    <row r="146" ht="18" customHeight="1">
      <c r="A146" s="22" t="n">
        <v>144</v>
      </c>
      <c r="B146" s="23">
        <f>DATE(Parametry!$C$12+INT((Parametry!$C$13+144-2)/12),MOD(Parametry!$C$13+144-2,12)+1,Parametry!$C$11)</f>
        <v/>
      </c>
      <c r="C146" s="24" t="n">
        <v>144</v>
      </c>
      <c r="D146" s="25">
        <f>L145</f>
        <v/>
      </c>
      <c r="E146" s="26">
        <f>IF(C146&lt;=Parametry!$C$9,Parametry!$C$8,Parametry!$C$10)</f>
        <v/>
      </c>
      <c r="F146" s="25">
        <f>D146*E146/12</f>
        <v/>
      </c>
      <c r="G146" s="25">
        <f>Parametry!$C$7</f>
        <v/>
      </c>
      <c r="H146" s="18" t="n"/>
      <c r="I146" s="19">
        <f>Parametry!$C$7</f>
        <v/>
      </c>
      <c r="J146" s="27">
        <f>G146+IF(ISNUMBER(H146),H146,0)</f>
        <v/>
      </c>
      <c r="K146" s="25">
        <f>MAX(0,J146-F146)</f>
        <v/>
      </c>
      <c r="L146" s="27">
        <f>MAX(0,D146-K146)</f>
        <v/>
      </c>
      <c r="M146" s="28">
        <f>IF(L146&lt;=0,0,MAX(0,ROUNDUP(-LN(1-L146*(E146/12)/Parametry!$C$7)/LN(1+E146/12),0)))</f>
        <v/>
      </c>
    </row>
    <row r="147" ht="18" customHeight="1">
      <c r="A147" s="13" t="n">
        <v>145</v>
      </c>
      <c r="B147" s="14">
        <f>DATE(Parametry!$C$12+INT((Parametry!$C$13+145-2)/12),MOD(Parametry!$C$13+145-2,12)+1,Parametry!$C$11)</f>
        <v/>
      </c>
      <c r="C147" s="15" t="n">
        <v>145</v>
      </c>
      <c r="D147" s="16">
        <f>L146</f>
        <v/>
      </c>
      <c r="E147" s="17">
        <f>IF(C147&lt;=Parametry!$C$9,Parametry!$C$8,Parametry!$C$10)</f>
        <v/>
      </c>
      <c r="F147" s="16">
        <f>D147*E147/12</f>
        <v/>
      </c>
      <c r="G147" s="16">
        <f>Parametry!$C$7</f>
        <v/>
      </c>
      <c r="H147" s="18" t="n"/>
      <c r="I147" s="19">
        <f>Parametry!$C$7</f>
        <v/>
      </c>
      <c r="J147" s="20">
        <f>G147+IF(ISNUMBER(H147),H147,0)</f>
        <v/>
      </c>
      <c r="K147" s="16">
        <f>MAX(0,J147-F147)</f>
        <v/>
      </c>
      <c r="L147" s="20">
        <f>MAX(0,D147-K147)</f>
        <v/>
      </c>
      <c r="M147" s="21">
        <f>IF(L147&lt;=0,0,MAX(0,ROUNDUP(-LN(1-L147*(E147/12)/Parametry!$C$7)/LN(1+E147/12),0)))</f>
        <v/>
      </c>
    </row>
    <row r="148" ht="18" customHeight="1">
      <c r="A148" s="22" t="n">
        <v>146</v>
      </c>
      <c r="B148" s="23">
        <f>DATE(Parametry!$C$12+INT((Parametry!$C$13+146-2)/12),MOD(Parametry!$C$13+146-2,12)+1,Parametry!$C$11)</f>
        <v/>
      </c>
      <c r="C148" s="24" t="n">
        <v>146</v>
      </c>
      <c r="D148" s="25">
        <f>L147</f>
        <v/>
      </c>
      <c r="E148" s="26">
        <f>IF(C148&lt;=Parametry!$C$9,Parametry!$C$8,Parametry!$C$10)</f>
        <v/>
      </c>
      <c r="F148" s="25">
        <f>D148*E148/12</f>
        <v/>
      </c>
      <c r="G148" s="25">
        <f>Parametry!$C$7</f>
        <v/>
      </c>
      <c r="H148" s="18" t="n"/>
      <c r="I148" s="19">
        <f>Parametry!$C$7</f>
        <v/>
      </c>
      <c r="J148" s="27">
        <f>G148+IF(ISNUMBER(H148),H148,0)</f>
        <v/>
      </c>
      <c r="K148" s="25">
        <f>MAX(0,J148-F148)</f>
        <v/>
      </c>
      <c r="L148" s="27">
        <f>MAX(0,D148-K148)</f>
        <v/>
      </c>
      <c r="M148" s="28">
        <f>IF(L148&lt;=0,0,MAX(0,ROUNDUP(-LN(1-L148*(E148/12)/Parametry!$C$7)/LN(1+E148/12),0)))</f>
        <v/>
      </c>
    </row>
    <row r="149" ht="18" customHeight="1">
      <c r="A149" s="13" t="n">
        <v>147</v>
      </c>
      <c r="B149" s="14">
        <f>DATE(Parametry!$C$12+INT((Parametry!$C$13+147-2)/12),MOD(Parametry!$C$13+147-2,12)+1,Parametry!$C$11)</f>
        <v/>
      </c>
      <c r="C149" s="15" t="n">
        <v>147</v>
      </c>
      <c r="D149" s="16">
        <f>L148</f>
        <v/>
      </c>
      <c r="E149" s="17">
        <f>IF(C149&lt;=Parametry!$C$9,Parametry!$C$8,Parametry!$C$10)</f>
        <v/>
      </c>
      <c r="F149" s="16">
        <f>D149*E149/12</f>
        <v/>
      </c>
      <c r="G149" s="16">
        <f>Parametry!$C$7</f>
        <v/>
      </c>
      <c r="H149" s="18" t="n"/>
      <c r="I149" s="19">
        <f>Parametry!$C$7</f>
        <v/>
      </c>
      <c r="J149" s="20">
        <f>G149+IF(ISNUMBER(H149),H149,0)</f>
        <v/>
      </c>
      <c r="K149" s="16">
        <f>MAX(0,J149-F149)</f>
        <v/>
      </c>
      <c r="L149" s="20">
        <f>MAX(0,D149-K149)</f>
        <v/>
      </c>
      <c r="M149" s="21">
        <f>IF(L149&lt;=0,0,MAX(0,ROUNDUP(-LN(1-L149*(E149/12)/Parametry!$C$7)/LN(1+E149/12),0)))</f>
        <v/>
      </c>
    </row>
    <row r="150" ht="18" customHeight="1">
      <c r="A150" s="22" t="n">
        <v>148</v>
      </c>
      <c r="B150" s="23">
        <f>DATE(Parametry!$C$12+INT((Parametry!$C$13+148-2)/12),MOD(Parametry!$C$13+148-2,12)+1,Parametry!$C$11)</f>
        <v/>
      </c>
      <c r="C150" s="24" t="n">
        <v>148</v>
      </c>
      <c r="D150" s="25">
        <f>L149</f>
        <v/>
      </c>
      <c r="E150" s="26">
        <f>IF(C150&lt;=Parametry!$C$9,Parametry!$C$8,Parametry!$C$10)</f>
        <v/>
      </c>
      <c r="F150" s="25">
        <f>D150*E150/12</f>
        <v/>
      </c>
      <c r="G150" s="25">
        <f>Parametry!$C$7</f>
        <v/>
      </c>
      <c r="H150" s="18" t="n"/>
      <c r="I150" s="19">
        <f>Parametry!$C$7</f>
        <v/>
      </c>
      <c r="J150" s="27">
        <f>G150+IF(ISNUMBER(H150),H150,0)</f>
        <v/>
      </c>
      <c r="K150" s="25">
        <f>MAX(0,J150-F150)</f>
        <v/>
      </c>
      <c r="L150" s="27">
        <f>MAX(0,D150-K150)</f>
        <v/>
      </c>
      <c r="M150" s="28">
        <f>IF(L150&lt;=0,0,MAX(0,ROUNDUP(-LN(1-L150*(E150/12)/Parametry!$C$7)/LN(1+E150/12),0)))</f>
        <v/>
      </c>
    </row>
    <row r="151" ht="18" customHeight="1">
      <c r="A151" s="13" t="n">
        <v>149</v>
      </c>
      <c r="B151" s="14">
        <f>DATE(Parametry!$C$12+INT((Parametry!$C$13+149-2)/12),MOD(Parametry!$C$13+149-2,12)+1,Parametry!$C$11)</f>
        <v/>
      </c>
      <c r="C151" s="15" t="n">
        <v>149</v>
      </c>
      <c r="D151" s="16">
        <f>L150</f>
        <v/>
      </c>
      <c r="E151" s="17">
        <f>IF(C151&lt;=Parametry!$C$9,Parametry!$C$8,Parametry!$C$10)</f>
        <v/>
      </c>
      <c r="F151" s="16">
        <f>D151*E151/12</f>
        <v/>
      </c>
      <c r="G151" s="16">
        <f>Parametry!$C$7</f>
        <v/>
      </c>
      <c r="H151" s="18" t="n"/>
      <c r="I151" s="19">
        <f>Parametry!$C$7</f>
        <v/>
      </c>
      <c r="J151" s="20">
        <f>G151+IF(ISNUMBER(H151),H151,0)</f>
        <v/>
      </c>
      <c r="K151" s="16">
        <f>MAX(0,J151-F151)</f>
        <v/>
      </c>
      <c r="L151" s="20">
        <f>MAX(0,D151-K151)</f>
        <v/>
      </c>
      <c r="M151" s="21">
        <f>IF(L151&lt;=0,0,MAX(0,ROUNDUP(-LN(1-L151*(E151/12)/Parametry!$C$7)/LN(1+E151/12),0)))</f>
        <v/>
      </c>
    </row>
    <row r="152" ht="18" customHeight="1">
      <c r="A152" s="22" t="n">
        <v>150</v>
      </c>
      <c r="B152" s="23">
        <f>DATE(Parametry!$C$12+INT((Parametry!$C$13+150-2)/12),MOD(Parametry!$C$13+150-2,12)+1,Parametry!$C$11)</f>
        <v/>
      </c>
      <c r="C152" s="24" t="n">
        <v>150</v>
      </c>
      <c r="D152" s="25">
        <f>L151</f>
        <v/>
      </c>
      <c r="E152" s="26">
        <f>IF(C152&lt;=Parametry!$C$9,Parametry!$C$8,Parametry!$C$10)</f>
        <v/>
      </c>
      <c r="F152" s="25">
        <f>D152*E152/12</f>
        <v/>
      </c>
      <c r="G152" s="25">
        <f>Parametry!$C$7</f>
        <v/>
      </c>
      <c r="H152" s="18" t="n"/>
      <c r="I152" s="19">
        <f>Parametry!$C$7</f>
        <v/>
      </c>
      <c r="J152" s="27">
        <f>G152+IF(ISNUMBER(H152),H152,0)</f>
        <v/>
      </c>
      <c r="K152" s="25">
        <f>MAX(0,J152-F152)</f>
        <v/>
      </c>
      <c r="L152" s="27">
        <f>MAX(0,D152-K152)</f>
        <v/>
      </c>
      <c r="M152" s="28">
        <f>IF(L152&lt;=0,0,MAX(0,ROUNDUP(-LN(1-L152*(E152/12)/Parametry!$C$7)/LN(1+E152/12),0)))</f>
        <v/>
      </c>
    </row>
    <row r="153" ht="18" customHeight="1">
      <c r="A153" s="13" t="n">
        <v>151</v>
      </c>
      <c r="B153" s="14">
        <f>DATE(Parametry!$C$12+INT((Parametry!$C$13+151-2)/12),MOD(Parametry!$C$13+151-2,12)+1,Parametry!$C$11)</f>
        <v/>
      </c>
      <c r="C153" s="15" t="n">
        <v>151</v>
      </c>
      <c r="D153" s="16">
        <f>L152</f>
        <v/>
      </c>
      <c r="E153" s="17">
        <f>IF(C153&lt;=Parametry!$C$9,Parametry!$C$8,Parametry!$C$10)</f>
        <v/>
      </c>
      <c r="F153" s="16">
        <f>D153*E153/12</f>
        <v/>
      </c>
      <c r="G153" s="16">
        <f>Parametry!$C$7</f>
        <v/>
      </c>
      <c r="H153" s="18" t="n"/>
      <c r="I153" s="19">
        <f>Parametry!$C$7</f>
        <v/>
      </c>
      <c r="J153" s="20">
        <f>G153+IF(ISNUMBER(H153),H153,0)</f>
        <v/>
      </c>
      <c r="K153" s="16">
        <f>MAX(0,J153-F153)</f>
        <v/>
      </c>
      <c r="L153" s="20">
        <f>MAX(0,D153-K153)</f>
        <v/>
      </c>
      <c r="M153" s="21">
        <f>IF(L153&lt;=0,0,MAX(0,ROUNDUP(-LN(1-L153*(E153/12)/Parametry!$C$7)/LN(1+E153/12),0)))</f>
        <v/>
      </c>
    </row>
    <row r="154" ht="18" customHeight="1">
      <c r="A154" s="22" t="n">
        <v>152</v>
      </c>
      <c r="B154" s="23">
        <f>DATE(Parametry!$C$12+INT((Parametry!$C$13+152-2)/12),MOD(Parametry!$C$13+152-2,12)+1,Parametry!$C$11)</f>
        <v/>
      </c>
      <c r="C154" s="24" t="n">
        <v>152</v>
      </c>
      <c r="D154" s="25">
        <f>L153</f>
        <v/>
      </c>
      <c r="E154" s="26">
        <f>IF(C154&lt;=Parametry!$C$9,Parametry!$C$8,Parametry!$C$10)</f>
        <v/>
      </c>
      <c r="F154" s="25">
        <f>D154*E154/12</f>
        <v/>
      </c>
      <c r="G154" s="25">
        <f>Parametry!$C$7</f>
        <v/>
      </c>
      <c r="H154" s="18" t="n"/>
      <c r="I154" s="19">
        <f>Parametry!$C$7</f>
        <v/>
      </c>
      <c r="J154" s="27">
        <f>G154+IF(ISNUMBER(H154),H154,0)</f>
        <v/>
      </c>
      <c r="K154" s="25">
        <f>MAX(0,J154-F154)</f>
        <v/>
      </c>
      <c r="L154" s="27">
        <f>MAX(0,D154-K154)</f>
        <v/>
      </c>
      <c r="M154" s="28">
        <f>IF(L154&lt;=0,0,MAX(0,ROUNDUP(-LN(1-L154*(E154/12)/Parametry!$C$7)/LN(1+E154/12),0)))</f>
        <v/>
      </c>
    </row>
    <row r="155" ht="18" customHeight="1">
      <c r="A155" s="13" t="n">
        <v>153</v>
      </c>
      <c r="B155" s="14">
        <f>DATE(Parametry!$C$12+INT((Parametry!$C$13+153-2)/12),MOD(Parametry!$C$13+153-2,12)+1,Parametry!$C$11)</f>
        <v/>
      </c>
      <c r="C155" s="15" t="n">
        <v>153</v>
      </c>
      <c r="D155" s="16">
        <f>L154</f>
        <v/>
      </c>
      <c r="E155" s="17">
        <f>IF(C155&lt;=Parametry!$C$9,Parametry!$C$8,Parametry!$C$10)</f>
        <v/>
      </c>
      <c r="F155" s="16">
        <f>D155*E155/12</f>
        <v/>
      </c>
      <c r="G155" s="16">
        <f>Parametry!$C$7</f>
        <v/>
      </c>
      <c r="H155" s="18" t="n"/>
      <c r="I155" s="19">
        <f>Parametry!$C$7</f>
        <v/>
      </c>
      <c r="J155" s="20">
        <f>G155+IF(ISNUMBER(H155),H155,0)</f>
        <v/>
      </c>
      <c r="K155" s="16">
        <f>MAX(0,J155-F155)</f>
        <v/>
      </c>
      <c r="L155" s="20">
        <f>MAX(0,D155-K155)</f>
        <v/>
      </c>
      <c r="M155" s="21">
        <f>IF(L155&lt;=0,0,MAX(0,ROUNDUP(-LN(1-L155*(E155/12)/Parametry!$C$7)/LN(1+E155/12),0)))</f>
        <v/>
      </c>
    </row>
    <row r="156" ht="18" customHeight="1">
      <c r="A156" s="22" t="n">
        <v>154</v>
      </c>
      <c r="B156" s="23">
        <f>DATE(Parametry!$C$12+INT((Parametry!$C$13+154-2)/12),MOD(Parametry!$C$13+154-2,12)+1,Parametry!$C$11)</f>
        <v/>
      </c>
      <c r="C156" s="24" t="n">
        <v>154</v>
      </c>
      <c r="D156" s="25">
        <f>L155</f>
        <v/>
      </c>
      <c r="E156" s="26">
        <f>IF(C156&lt;=Parametry!$C$9,Parametry!$C$8,Parametry!$C$10)</f>
        <v/>
      </c>
      <c r="F156" s="25">
        <f>D156*E156/12</f>
        <v/>
      </c>
      <c r="G156" s="25">
        <f>Parametry!$C$7</f>
        <v/>
      </c>
      <c r="H156" s="18" t="n"/>
      <c r="I156" s="19">
        <f>Parametry!$C$7</f>
        <v/>
      </c>
      <c r="J156" s="27">
        <f>G156+IF(ISNUMBER(H156),H156,0)</f>
        <v/>
      </c>
      <c r="K156" s="25">
        <f>MAX(0,J156-F156)</f>
        <v/>
      </c>
      <c r="L156" s="27">
        <f>MAX(0,D156-K156)</f>
        <v/>
      </c>
      <c r="M156" s="28">
        <f>IF(L156&lt;=0,0,MAX(0,ROUNDUP(-LN(1-L156*(E156/12)/Parametry!$C$7)/LN(1+E156/12),0)))</f>
        <v/>
      </c>
    </row>
    <row r="157" ht="18" customHeight="1">
      <c r="A157" s="13" t="n">
        <v>155</v>
      </c>
      <c r="B157" s="14">
        <f>DATE(Parametry!$C$12+INT((Parametry!$C$13+155-2)/12),MOD(Parametry!$C$13+155-2,12)+1,Parametry!$C$11)</f>
        <v/>
      </c>
      <c r="C157" s="15" t="n">
        <v>155</v>
      </c>
      <c r="D157" s="16">
        <f>L156</f>
        <v/>
      </c>
      <c r="E157" s="17">
        <f>IF(C157&lt;=Parametry!$C$9,Parametry!$C$8,Parametry!$C$10)</f>
        <v/>
      </c>
      <c r="F157" s="16">
        <f>D157*E157/12</f>
        <v/>
      </c>
      <c r="G157" s="16">
        <f>Parametry!$C$7</f>
        <v/>
      </c>
      <c r="H157" s="18" t="n"/>
      <c r="I157" s="19">
        <f>Parametry!$C$7</f>
        <v/>
      </c>
      <c r="J157" s="20">
        <f>G157+IF(ISNUMBER(H157),H157,0)</f>
        <v/>
      </c>
      <c r="K157" s="16">
        <f>MAX(0,J157-F157)</f>
        <v/>
      </c>
      <c r="L157" s="20">
        <f>MAX(0,D157-K157)</f>
        <v/>
      </c>
      <c r="M157" s="21">
        <f>IF(L157&lt;=0,0,MAX(0,ROUNDUP(-LN(1-L157*(E157/12)/Parametry!$C$7)/LN(1+E157/12),0)))</f>
        <v/>
      </c>
    </row>
    <row r="158" ht="18" customHeight="1">
      <c r="A158" s="22" t="n">
        <v>156</v>
      </c>
      <c r="B158" s="23">
        <f>DATE(Parametry!$C$12+INT((Parametry!$C$13+156-2)/12),MOD(Parametry!$C$13+156-2,12)+1,Parametry!$C$11)</f>
        <v/>
      </c>
      <c r="C158" s="24" t="n">
        <v>156</v>
      </c>
      <c r="D158" s="25">
        <f>L157</f>
        <v/>
      </c>
      <c r="E158" s="26">
        <f>IF(C158&lt;=Parametry!$C$9,Parametry!$C$8,Parametry!$C$10)</f>
        <v/>
      </c>
      <c r="F158" s="25">
        <f>D158*E158/12</f>
        <v/>
      </c>
      <c r="G158" s="25">
        <f>Parametry!$C$7</f>
        <v/>
      </c>
      <c r="H158" s="18" t="n"/>
      <c r="I158" s="19">
        <f>Parametry!$C$7</f>
        <v/>
      </c>
      <c r="J158" s="27">
        <f>G158+IF(ISNUMBER(H158),H158,0)</f>
        <v/>
      </c>
      <c r="K158" s="25">
        <f>MAX(0,J158-F158)</f>
        <v/>
      </c>
      <c r="L158" s="27">
        <f>MAX(0,D158-K158)</f>
        <v/>
      </c>
      <c r="M158" s="28">
        <f>IF(L158&lt;=0,0,MAX(0,ROUNDUP(-LN(1-L158*(E158/12)/Parametry!$C$7)/LN(1+E158/12),0)))</f>
        <v/>
      </c>
    </row>
    <row r="159" ht="18" customHeight="1">
      <c r="A159" s="13" t="n">
        <v>157</v>
      </c>
      <c r="B159" s="14">
        <f>DATE(Parametry!$C$12+INT((Parametry!$C$13+157-2)/12),MOD(Parametry!$C$13+157-2,12)+1,Parametry!$C$11)</f>
        <v/>
      </c>
      <c r="C159" s="15" t="n">
        <v>157</v>
      </c>
      <c r="D159" s="16">
        <f>L158</f>
        <v/>
      </c>
      <c r="E159" s="17">
        <f>IF(C159&lt;=Parametry!$C$9,Parametry!$C$8,Parametry!$C$10)</f>
        <v/>
      </c>
      <c r="F159" s="16">
        <f>D159*E159/12</f>
        <v/>
      </c>
      <c r="G159" s="16">
        <f>Parametry!$C$7</f>
        <v/>
      </c>
      <c r="H159" s="18" t="n"/>
      <c r="I159" s="19">
        <f>Parametry!$C$7</f>
        <v/>
      </c>
      <c r="J159" s="20">
        <f>G159+IF(ISNUMBER(H159),H159,0)</f>
        <v/>
      </c>
      <c r="K159" s="16">
        <f>MAX(0,J159-F159)</f>
        <v/>
      </c>
      <c r="L159" s="20">
        <f>MAX(0,D159-K159)</f>
        <v/>
      </c>
      <c r="M159" s="21">
        <f>IF(L159&lt;=0,0,MAX(0,ROUNDUP(-LN(1-L159*(E159/12)/Parametry!$C$7)/LN(1+E159/12),0)))</f>
        <v/>
      </c>
    </row>
    <row r="160" ht="18" customHeight="1">
      <c r="A160" s="22" t="n">
        <v>158</v>
      </c>
      <c r="B160" s="23">
        <f>DATE(Parametry!$C$12+INT((Parametry!$C$13+158-2)/12),MOD(Parametry!$C$13+158-2,12)+1,Parametry!$C$11)</f>
        <v/>
      </c>
      <c r="C160" s="24" t="n">
        <v>158</v>
      </c>
      <c r="D160" s="25">
        <f>L159</f>
        <v/>
      </c>
      <c r="E160" s="26">
        <f>IF(C160&lt;=Parametry!$C$9,Parametry!$C$8,Parametry!$C$10)</f>
        <v/>
      </c>
      <c r="F160" s="25">
        <f>D160*E160/12</f>
        <v/>
      </c>
      <c r="G160" s="25">
        <f>Parametry!$C$7</f>
        <v/>
      </c>
      <c r="H160" s="18" t="n"/>
      <c r="I160" s="19">
        <f>Parametry!$C$7</f>
        <v/>
      </c>
      <c r="J160" s="27">
        <f>G160+IF(ISNUMBER(H160),H160,0)</f>
        <v/>
      </c>
      <c r="K160" s="25">
        <f>MAX(0,J160-F160)</f>
        <v/>
      </c>
      <c r="L160" s="27">
        <f>MAX(0,D160-K160)</f>
        <v/>
      </c>
      <c r="M160" s="28">
        <f>IF(L160&lt;=0,0,MAX(0,ROUNDUP(-LN(1-L160*(E160/12)/Parametry!$C$7)/LN(1+E160/12),0)))</f>
        <v/>
      </c>
    </row>
    <row r="161" ht="18" customHeight="1">
      <c r="A161" s="13" t="n">
        <v>159</v>
      </c>
      <c r="B161" s="14">
        <f>DATE(Parametry!$C$12+INT((Parametry!$C$13+159-2)/12),MOD(Parametry!$C$13+159-2,12)+1,Parametry!$C$11)</f>
        <v/>
      </c>
      <c r="C161" s="15" t="n">
        <v>159</v>
      </c>
      <c r="D161" s="16">
        <f>L160</f>
        <v/>
      </c>
      <c r="E161" s="17">
        <f>IF(C161&lt;=Parametry!$C$9,Parametry!$C$8,Parametry!$C$10)</f>
        <v/>
      </c>
      <c r="F161" s="16">
        <f>D161*E161/12</f>
        <v/>
      </c>
      <c r="G161" s="16">
        <f>Parametry!$C$7</f>
        <v/>
      </c>
      <c r="H161" s="18" t="n"/>
      <c r="I161" s="19">
        <f>Parametry!$C$7</f>
        <v/>
      </c>
      <c r="J161" s="20">
        <f>G161+IF(ISNUMBER(H161),H161,0)</f>
        <v/>
      </c>
      <c r="K161" s="16">
        <f>MAX(0,J161-F161)</f>
        <v/>
      </c>
      <c r="L161" s="20">
        <f>MAX(0,D161-K161)</f>
        <v/>
      </c>
      <c r="M161" s="21">
        <f>IF(L161&lt;=0,0,MAX(0,ROUNDUP(-LN(1-L161*(E161/12)/Parametry!$C$7)/LN(1+E161/12),0)))</f>
        <v/>
      </c>
    </row>
    <row r="162" ht="18" customHeight="1">
      <c r="A162" s="22" t="n">
        <v>160</v>
      </c>
      <c r="B162" s="23">
        <f>DATE(Parametry!$C$12+INT((Parametry!$C$13+160-2)/12),MOD(Parametry!$C$13+160-2,12)+1,Parametry!$C$11)</f>
        <v/>
      </c>
      <c r="C162" s="24" t="n">
        <v>160</v>
      </c>
      <c r="D162" s="25">
        <f>L161</f>
        <v/>
      </c>
      <c r="E162" s="26">
        <f>IF(C162&lt;=Parametry!$C$9,Parametry!$C$8,Parametry!$C$10)</f>
        <v/>
      </c>
      <c r="F162" s="25">
        <f>D162*E162/12</f>
        <v/>
      </c>
      <c r="G162" s="25">
        <f>Parametry!$C$7</f>
        <v/>
      </c>
      <c r="H162" s="18" t="n"/>
      <c r="I162" s="19">
        <f>Parametry!$C$7</f>
        <v/>
      </c>
      <c r="J162" s="27">
        <f>G162+IF(ISNUMBER(H162),H162,0)</f>
        <v/>
      </c>
      <c r="K162" s="25">
        <f>MAX(0,J162-F162)</f>
        <v/>
      </c>
      <c r="L162" s="27">
        <f>MAX(0,D162-K162)</f>
        <v/>
      </c>
      <c r="M162" s="28">
        <f>IF(L162&lt;=0,0,MAX(0,ROUNDUP(-LN(1-L162*(E162/12)/Parametry!$C$7)/LN(1+E162/12),0)))</f>
        <v/>
      </c>
    </row>
    <row r="163" ht="18" customHeight="1">
      <c r="A163" s="13" t="n">
        <v>161</v>
      </c>
      <c r="B163" s="14">
        <f>DATE(Parametry!$C$12+INT((Parametry!$C$13+161-2)/12),MOD(Parametry!$C$13+161-2,12)+1,Parametry!$C$11)</f>
        <v/>
      </c>
      <c r="C163" s="15" t="n">
        <v>161</v>
      </c>
      <c r="D163" s="16">
        <f>L162</f>
        <v/>
      </c>
      <c r="E163" s="17">
        <f>IF(C163&lt;=Parametry!$C$9,Parametry!$C$8,Parametry!$C$10)</f>
        <v/>
      </c>
      <c r="F163" s="16">
        <f>D163*E163/12</f>
        <v/>
      </c>
      <c r="G163" s="16">
        <f>Parametry!$C$7</f>
        <v/>
      </c>
      <c r="H163" s="18" t="n"/>
      <c r="I163" s="19">
        <f>Parametry!$C$7</f>
        <v/>
      </c>
      <c r="J163" s="20">
        <f>G163+IF(ISNUMBER(H163),H163,0)</f>
        <v/>
      </c>
      <c r="K163" s="16">
        <f>MAX(0,J163-F163)</f>
        <v/>
      </c>
      <c r="L163" s="20">
        <f>MAX(0,D163-K163)</f>
        <v/>
      </c>
      <c r="M163" s="21">
        <f>IF(L163&lt;=0,0,MAX(0,ROUNDUP(-LN(1-L163*(E163/12)/Parametry!$C$7)/LN(1+E163/12),0)))</f>
        <v/>
      </c>
    </row>
    <row r="164" ht="18" customHeight="1">
      <c r="A164" s="22" t="n">
        <v>162</v>
      </c>
      <c r="B164" s="23">
        <f>DATE(Parametry!$C$12+INT((Parametry!$C$13+162-2)/12),MOD(Parametry!$C$13+162-2,12)+1,Parametry!$C$11)</f>
        <v/>
      </c>
      <c r="C164" s="24" t="n">
        <v>162</v>
      </c>
      <c r="D164" s="25">
        <f>L163</f>
        <v/>
      </c>
      <c r="E164" s="26">
        <f>IF(C164&lt;=Parametry!$C$9,Parametry!$C$8,Parametry!$C$10)</f>
        <v/>
      </c>
      <c r="F164" s="25">
        <f>D164*E164/12</f>
        <v/>
      </c>
      <c r="G164" s="25">
        <f>Parametry!$C$7</f>
        <v/>
      </c>
      <c r="H164" s="18" t="n"/>
      <c r="I164" s="19">
        <f>Parametry!$C$7</f>
        <v/>
      </c>
      <c r="J164" s="27">
        <f>G164+IF(ISNUMBER(H164),H164,0)</f>
        <v/>
      </c>
      <c r="K164" s="25">
        <f>MAX(0,J164-F164)</f>
        <v/>
      </c>
      <c r="L164" s="27">
        <f>MAX(0,D164-K164)</f>
        <v/>
      </c>
      <c r="M164" s="28">
        <f>IF(L164&lt;=0,0,MAX(0,ROUNDUP(-LN(1-L164*(E164/12)/Parametry!$C$7)/LN(1+E164/12),0)))</f>
        <v/>
      </c>
    </row>
    <row r="165" ht="18" customHeight="1">
      <c r="A165" s="13" t="n">
        <v>163</v>
      </c>
      <c r="B165" s="14">
        <f>DATE(Parametry!$C$12+INT((Parametry!$C$13+163-2)/12),MOD(Parametry!$C$13+163-2,12)+1,Parametry!$C$11)</f>
        <v/>
      </c>
      <c r="C165" s="15" t="n">
        <v>163</v>
      </c>
      <c r="D165" s="16">
        <f>L164</f>
        <v/>
      </c>
      <c r="E165" s="17">
        <f>IF(C165&lt;=Parametry!$C$9,Parametry!$C$8,Parametry!$C$10)</f>
        <v/>
      </c>
      <c r="F165" s="16">
        <f>D165*E165/12</f>
        <v/>
      </c>
      <c r="G165" s="16">
        <f>Parametry!$C$7</f>
        <v/>
      </c>
      <c r="H165" s="18" t="n"/>
      <c r="I165" s="19">
        <f>Parametry!$C$7</f>
        <v/>
      </c>
      <c r="J165" s="20">
        <f>G165+IF(ISNUMBER(H165),H165,0)</f>
        <v/>
      </c>
      <c r="K165" s="16">
        <f>MAX(0,J165-F165)</f>
        <v/>
      </c>
      <c r="L165" s="20">
        <f>MAX(0,D165-K165)</f>
        <v/>
      </c>
      <c r="M165" s="21">
        <f>IF(L165&lt;=0,0,MAX(0,ROUNDUP(-LN(1-L165*(E165/12)/Parametry!$C$7)/LN(1+E165/12),0)))</f>
        <v/>
      </c>
    </row>
    <row r="166" ht="18" customHeight="1">
      <c r="A166" s="22" t="n">
        <v>164</v>
      </c>
      <c r="B166" s="23">
        <f>DATE(Parametry!$C$12+INT((Parametry!$C$13+164-2)/12),MOD(Parametry!$C$13+164-2,12)+1,Parametry!$C$11)</f>
        <v/>
      </c>
      <c r="C166" s="24" t="n">
        <v>164</v>
      </c>
      <c r="D166" s="25">
        <f>L165</f>
        <v/>
      </c>
      <c r="E166" s="26">
        <f>IF(C166&lt;=Parametry!$C$9,Parametry!$C$8,Parametry!$C$10)</f>
        <v/>
      </c>
      <c r="F166" s="25">
        <f>D166*E166/12</f>
        <v/>
      </c>
      <c r="G166" s="25">
        <f>Parametry!$C$7</f>
        <v/>
      </c>
      <c r="H166" s="18" t="n"/>
      <c r="I166" s="19">
        <f>Parametry!$C$7</f>
        <v/>
      </c>
      <c r="J166" s="27">
        <f>G166+IF(ISNUMBER(H166),H166,0)</f>
        <v/>
      </c>
      <c r="K166" s="25">
        <f>MAX(0,J166-F166)</f>
        <v/>
      </c>
      <c r="L166" s="27">
        <f>MAX(0,D166-K166)</f>
        <v/>
      </c>
      <c r="M166" s="28">
        <f>IF(L166&lt;=0,0,MAX(0,ROUNDUP(-LN(1-L166*(E166/12)/Parametry!$C$7)/LN(1+E166/12),0)))</f>
        <v/>
      </c>
    </row>
    <row r="167" ht="18" customHeight="1">
      <c r="A167" s="13" t="n">
        <v>165</v>
      </c>
      <c r="B167" s="14">
        <f>DATE(Parametry!$C$12+INT((Parametry!$C$13+165-2)/12),MOD(Parametry!$C$13+165-2,12)+1,Parametry!$C$11)</f>
        <v/>
      </c>
      <c r="C167" s="15" t="n">
        <v>165</v>
      </c>
      <c r="D167" s="16">
        <f>L166</f>
        <v/>
      </c>
      <c r="E167" s="17">
        <f>IF(C167&lt;=Parametry!$C$9,Parametry!$C$8,Parametry!$C$10)</f>
        <v/>
      </c>
      <c r="F167" s="16">
        <f>D167*E167/12</f>
        <v/>
      </c>
      <c r="G167" s="16">
        <f>Parametry!$C$7</f>
        <v/>
      </c>
      <c r="H167" s="18" t="n"/>
      <c r="I167" s="19">
        <f>Parametry!$C$7</f>
        <v/>
      </c>
      <c r="J167" s="20">
        <f>G167+IF(ISNUMBER(H167),H167,0)</f>
        <v/>
      </c>
      <c r="K167" s="16">
        <f>MAX(0,J167-F167)</f>
        <v/>
      </c>
      <c r="L167" s="20">
        <f>MAX(0,D167-K167)</f>
        <v/>
      </c>
      <c r="M167" s="21">
        <f>IF(L167&lt;=0,0,MAX(0,ROUNDUP(-LN(1-L167*(E167/12)/Parametry!$C$7)/LN(1+E167/12),0)))</f>
        <v/>
      </c>
    </row>
    <row r="168" ht="18" customHeight="1">
      <c r="A168" s="22" t="n">
        <v>166</v>
      </c>
      <c r="B168" s="23">
        <f>DATE(Parametry!$C$12+INT((Parametry!$C$13+166-2)/12),MOD(Parametry!$C$13+166-2,12)+1,Parametry!$C$11)</f>
        <v/>
      </c>
      <c r="C168" s="24" t="n">
        <v>166</v>
      </c>
      <c r="D168" s="25">
        <f>L167</f>
        <v/>
      </c>
      <c r="E168" s="26">
        <f>IF(C168&lt;=Parametry!$C$9,Parametry!$C$8,Parametry!$C$10)</f>
        <v/>
      </c>
      <c r="F168" s="25">
        <f>D168*E168/12</f>
        <v/>
      </c>
      <c r="G168" s="25">
        <f>Parametry!$C$7</f>
        <v/>
      </c>
      <c r="H168" s="18" t="n"/>
      <c r="I168" s="19">
        <f>Parametry!$C$7</f>
        <v/>
      </c>
      <c r="J168" s="27">
        <f>G168+IF(ISNUMBER(H168),H168,0)</f>
        <v/>
      </c>
      <c r="K168" s="25">
        <f>MAX(0,J168-F168)</f>
        <v/>
      </c>
      <c r="L168" s="27">
        <f>MAX(0,D168-K168)</f>
        <v/>
      </c>
      <c r="M168" s="28">
        <f>IF(L168&lt;=0,0,MAX(0,ROUNDUP(-LN(1-L168*(E168/12)/Parametry!$C$7)/LN(1+E168/12),0)))</f>
        <v/>
      </c>
    </row>
    <row r="169" ht="18" customHeight="1">
      <c r="A169" s="13" t="n">
        <v>167</v>
      </c>
      <c r="B169" s="14">
        <f>DATE(Parametry!$C$12+INT((Parametry!$C$13+167-2)/12),MOD(Parametry!$C$13+167-2,12)+1,Parametry!$C$11)</f>
        <v/>
      </c>
      <c r="C169" s="15" t="n">
        <v>167</v>
      </c>
      <c r="D169" s="16">
        <f>L168</f>
        <v/>
      </c>
      <c r="E169" s="17">
        <f>IF(C169&lt;=Parametry!$C$9,Parametry!$C$8,Parametry!$C$10)</f>
        <v/>
      </c>
      <c r="F169" s="16">
        <f>D169*E169/12</f>
        <v/>
      </c>
      <c r="G169" s="16">
        <f>Parametry!$C$7</f>
        <v/>
      </c>
      <c r="H169" s="18" t="n"/>
      <c r="I169" s="19">
        <f>Parametry!$C$7</f>
        <v/>
      </c>
      <c r="J169" s="20">
        <f>G169+IF(ISNUMBER(H169),H169,0)</f>
        <v/>
      </c>
      <c r="K169" s="16">
        <f>MAX(0,J169-F169)</f>
        <v/>
      </c>
      <c r="L169" s="20">
        <f>MAX(0,D169-K169)</f>
        <v/>
      </c>
      <c r="M169" s="21">
        <f>IF(L169&lt;=0,0,MAX(0,ROUNDUP(-LN(1-L169*(E169/12)/Parametry!$C$7)/LN(1+E169/12),0)))</f>
        <v/>
      </c>
    </row>
    <row r="170" ht="18" customHeight="1">
      <c r="A170" s="22" t="n">
        <v>168</v>
      </c>
      <c r="B170" s="23">
        <f>DATE(Parametry!$C$12+INT((Parametry!$C$13+168-2)/12),MOD(Parametry!$C$13+168-2,12)+1,Parametry!$C$11)</f>
        <v/>
      </c>
      <c r="C170" s="24" t="n">
        <v>168</v>
      </c>
      <c r="D170" s="25">
        <f>L169</f>
        <v/>
      </c>
      <c r="E170" s="26">
        <f>IF(C170&lt;=Parametry!$C$9,Parametry!$C$8,Parametry!$C$10)</f>
        <v/>
      </c>
      <c r="F170" s="25">
        <f>D170*E170/12</f>
        <v/>
      </c>
      <c r="G170" s="25">
        <f>Parametry!$C$7</f>
        <v/>
      </c>
      <c r="H170" s="18" t="n"/>
      <c r="I170" s="19">
        <f>Parametry!$C$7</f>
        <v/>
      </c>
      <c r="J170" s="27">
        <f>G170+IF(ISNUMBER(H170),H170,0)</f>
        <v/>
      </c>
      <c r="K170" s="25">
        <f>MAX(0,J170-F170)</f>
        <v/>
      </c>
      <c r="L170" s="27">
        <f>MAX(0,D170-K170)</f>
        <v/>
      </c>
      <c r="M170" s="28">
        <f>IF(L170&lt;=0,0,MAX(0,ROUNDUP(-LN(1-L170*(E170/12)/Parametry!$C$7)/LN(1+E170/12),0)))</f>
        <v/>
      </c>
    </row>
    <row r="171" ht="18" customHeight="1">
      <c r="A171" s="13" t="n">
        <v>169</v>
      </c>
      <c r="B171" s="14">
        <f>DATE(Parametry!$C$12+INT((Parametry!$C$13+169-2)/12),MOD(Parametry!$C$13+169-2,12)+1,Parametry!$C$11)</f>
        <v/>
      </c>
      <c r="C171" s="15" t="n">
        <v>169</v>
      </c>
      <c r="D171" s="16">
        <f>L170</f>
        <v/>
      </c>
      <c r="E171" s="17">
        <f>IF(C171&lt;=Parametry!$C$9,Parametry!$C$8,Parametry!$C$10)</f>
        <v/>
      </c>
      <c r="F171" s="16">
        <f>D171*E171/12</f>
        <v/>
      </c>
      <c r="G171" s="16">
        <f>Parametry!$C$7</f>
        <v/>
      </c>
      <c r="H171" s="18" t="n"/>
      <c r="I171" s="19">
        <f>Parametry!$C$7</f>
        <v/>
      </c>
      <c r="J171" s="20">
        <f>G171+IF(ISNUMBER(H171),H171,0)</f>
        <v/>
      </c>
      <c r="K171" s="16">
        <f>MAX(0,J171-F171)</f>
        <v/>
      </c>
      <c r="L171" s="20">
        <f>MAX(0,D171-K171)</f>
        <v/>
      </c>
      <c r="M171" s="21">
        <f>IF(L171&lt;=0,0,MAX(0,ROUNDUP(-LN(1-L171*(E171/12)/Parametry!$C$7)/LN(1+E171/12),0)))</f>
        <v/>
      </c>
    </row>
    <row r="172" ht="18" customHeight="1">
      <c r="A172" s="22" t="n">
        <v>170</v>
      </c>
      <c r="B172" s="23">
        <f>DATE(Parametry!$C$12+INT((Parametry!$C$13+170-2)/12),MOD(Parametry!$C$13+170-2,12)+1,Parametry!$C$11)</f>
        <v/>
      </c>
      <c r="C172" s="24" t="n">
        <v>170</v>
      </c>
      <c r="D172" s="25">
        <f>L171</f>
        <v/>
      </c>
      <c r="E172" s="26">
        <f>IF(C172&lt;=Parametry!$C$9,Parametry!$C$8,Parametry!$C$10)</f>
        <v/>
      </c>
      <c r="F172" s="25">
        <f>D172*E172/12</f>
        <v/>
      </c>
      <c r="G172" s="25">
        <f>Parametry!$C$7</f>
        <v/>
      </c>
      <c r="H172" s="18" t="n"/>
      <c r="I172" s="19">
        <f>Parametry!$C$7</f>
        <v/>
      </c>
      <c r="J172" s="27">
        <f>G172+IF(ISNUMBER(H172),H172,0)</f>
        <v/>
      </c>
      <c r="K172" s="25">
        <f>MAX(0,J172-F172)</f>
        <v/>
      </c>
      <c r="L172" s="27">
        <f>MAX(0,D172-K172)</f>
        <v/>
      </c>
      <c r="M172" s="28">
        <f>IF(L172&lt;=0,0,MAX(0,ROUNDUP(-LN(1-L172*(E172/12)/Parametry!$C$7)/LN(1+E172/12),0)))</f>
        <v/>
      </c>
    </row>
    <row r="173" ht="18" customHeight="1">
      <c r="A173" s="13" t="n">
        <v>171</v>
      </c>
      <c r="B173" s="14">
        <f>DATE(Parametry!$C$12+INT((Parametry!$C$13+171-2)/12),MOD(Parametry!$C$13+171-2,12)+1,Parametry!$C$11)</f>
        <v/>
      </c>
      <c r="C173" s="15" t="n">
        <v>171</v>
      </c>
      <c r="D173" s="16">
        <f>L172</f>
        <v/>
      </c>
      <c r="E173" s="17">
        <f>IF(C173&lt;=Parametry!$C$9,Parametry!$C$8,Parametry!$C$10)</f>
        <v/>
      </c>
      <c r="F173" s="16">
        <f>D173*E173/12</f>
        <v/>
      </c>
      <c r="G173" s="16">
        <f>Parametry!$C$7</f>
        <v/>
      </c>
      <c r="H173" s="18" t="n"/>
      <c r="I173" s="19">
        <f>Parametry!$C$7</f>
        <v/>
      </c>
      <c r="J173" s="20">
        <f>G173+IF(ISNUMBER(H173),H173,0)</f>
        <v/>
      </c>
      <c r="K173" s="16">
        <f>MAX(0,J173-F173)</f>
        <v/>
      </c>
      <c r="L173" s="20">
        <f>MAX(0,D173-K173)</f>
        <v/>
      </c>
      <c r="M173" s="21">
        <f>IF(L173&lt;=0,0,MAX(0,ROUNDUP(-LN(1-L173*(E173/12)/Parametry!$C$7)/LN(1+E173/12),0)))</f>
        <v/>
      </c>
    </row>
    <row r="174" ht="18" customHeight="1">
      <c r="A174" s="22" t="n">
        <v>172</v>
      </c>
      <c r="B174" s="23">
        <f>DATE(Parametry!$C$12+INT((Parametry!$C$13+172-2)/12),MOD(Parametry!$C$13+172-2,12)+1,Parametry!$C$11)</f>
        <v/>
      </c>
      <c r="C174" s="24" t="n">
        <v>172</v>
      </c>
      <c r="D174" s="25">
        <f>L173</f>
        <v/>
      </c>
      <c r="E174" s="26">
        <f>IF(C174&lt;=Parametry!$C$9,Parametry!$C$8,Parametry!$C$10)</f>
        <v/>
      </c>
      <c r="F174" s="25">
        <f>D174*E174/12</f>
        <v/>
      </c>
      <c r="G174" s="25">
        <f>Parametry!$C$7</f>
        <v/>
      </c>
      <c r="H174" s="18" t="n"/>
      <c r="I174" s="19">
        <f>Parametry!$C$7</f>
        <v/>
      </c>
      <c r="J174" s="27">
        <f>G174+IF(ISNUMBER(H174),H174,0)</f>
        <v/>
      </c>
      <c r="K174" s="25">
        <f>MAX(0,J174-F174)</f>
        <v/>
      </c>
      <c r="L174" s="27">
        <f>MAX(0,D174-K174)</f>
        <v/>
      </c>
      <c r="M174" s="28">
        <f>IF(L174&lt;=0,0,MAX(0,ROUNDUP(-LN(1-L174*(E174/12)/Parametry!$C$7)/LN(1+E174/12),0)))</f>
        <v/>
      </c>
    </row>
    <row r="175" ht="18" customHeight="1">
      <c r="A175" s="13" t="n">
        <v>173</v>
      </c>
      <c r="B175" s="14">
        <f>DATE(Parametry!$C$12+INT((Parametry!$C$13+173-2)/12),MOD(Parametry!$C$13+173-2,12)+1,Parametry!$C$11)</f>
        <v/>
      </c>
      <c r="C175" s="15" t="n">
        <v>173</v>
      </c>
      <c r="D175" s="16">
        <f>L174</f>
        <v/>
      </c>
      <c r="E175" s="17">
        <f>IF(C175&lt;=Parametry!$C$9,Parametry!$C$8,Parametry!$C$10)</f>
        <v/>
      </c>
      <c r="F175" s="16">
        <f>D175*E175/12</f>
        <v/>
      </c>
      <c r="G175" s="16">
        <f>Parametry!$C$7</f>
        <v/>
      </c>
      <c r="H175" s="18" t="n"/>
      <c r="I175" s="19">
        <f>Parametry!$C$7</f>
        <v/>
      </c>
      <c r="J175" s="20">
        <f>G175+IF(ISNUMBER(H175),H175,0)</f>
        <v/>
      </c>
      <c r="K175" s="16">
        <f>MAX(0,J175-F175)</f>
        <v/>
      </c>
      <c r="L175" s="20">
        <f>MAX(0,D175-K175)</f>
        <v/>
      </c>
      <c r="M175" s="21">
        <f>IF(L175&lt;=0,0,MAX(0,ROUNDUP(-LN(1-L175*(E175/12)/Parametry!$C$7)/LN(1+E175/12),0)))</f>
        <v/>
      </c>
    </row>
    <row r="176" ht="18" customHeight="1">
      <c r="A176" s="22" t="n">
        <v>174</v>
      </c>
      <c r="B176" s="23">
        <f>DATE(Parametry!$C$12+INT((Parametry!$C$13+174-2)/12),MOD(Parametry!$C$13+174-2,12)+1,Parametry!$C$11)</f>
        <v/>
      </c>
      <c r="C176" s="24" t="n">
        <v>174</v>
      </c>
      <c r="D176" s="25">
        <f>L175</f>
        <v/>
      </c>
      <c r="E176" s="26">
        <f>IF(C176&lt;=Parametry!$C$9,Parametry!$C$8,Parametry!$C$10)</f>
        <v/>
      </c>
      <c r="F176" s="25">
        <f>D176*E176/12</f>
        <v/>
      </c>
      <c r="G176" s="25">
        <f>Parametry!$C$7</f>
        <v/>
      </c>
      <c r="H176" s="18" t="n"/>
      <c r="I176" s="19">
        <f>Parametry!$C$7</f>
        <v/>
      </c>
      <c r="J176" s="27">
        <f>G176+IF(ISNUMBER(H176),H176,0)</f>
        <v/>
      </c>
      <c r="K176" s="25">
        <f>MAX(0,J176-F176)</f>
        <v/>
      </c>
      <c r="L176" s="27">
        <f>MAX(0,D176-K176)</f>
        <v/>
      </c>
      <c r="M176" s="28">
        <f>IF(L176&lt;=0,0,MAX(0,ROUNDUP(-LN(1-L176*(E176/12)/Parametry!$C$7)/LN(1+E176/12),0)))</f>
        <v/>
      </c>
    </row>
    <row r="177" ht="18" customHeight="1">
      <c r="A177" s="13" t="n">
        <v>175</v>
      </c>
      <c r="B177" s="14">
        <f>DATE(Parametry!$C$12+INT((Parametry!$C$13+175-2)/12),MOD(Parametry!$C$13+175-2,12)+1,Parametry!$C$11)</f>
        <v/>
      </c>
      <c r="C177" s="15" t="n">
        <v>175</v>
      </c>
      <c r="D177" s="16">
        <f>L176</f>
        <v/>
      </c>
      <c r="E177" s="17">
        <f>IF(C177&lt;=Parametry!$C$9,Parametry!$C$8,Parametry!$C$10)</f>
        <v/>
      </c>
      <c r="F177" s="16">
        <f>D177*E177/12</f>
        <v/>
      </c>
      <c r="G177" s="16">
        <f>Parametry!$C$7</f>
        <v/>
      </c>
      <c r="H177" s="18" t="n"/>
      <c r="I177" s="19">
        <f>Parametry!$C$7</f>
        <v/>
      </c>
      <c r="J177" s="20">
        <f>G177+IF(ISNUMBER(H177),H177,0)</f>
        <v/>
      </c>
      <c r="K177" s="16">
        <f>MAX(0,J177-F177)</f>
        <v/>
      </c>
      <c r="L177" s="20">
        <f>MAX(0,D177-K177)</f>
        <v/>
      </c>
      <c r="M177" s="21">
        <f>IF(L177&lt;=0,0,MAX(0,ROUNDUP(-LN(1-L177*(E177/12)/Parametry!$C$7)/LN(1+E177/12),0)))</f>
        <v/>
      </c>
    </row>
    <row r="178" ht="18" customHeight="1">
      <c r="A178" s="22" t="n">
        <v>176</v>
      </c>
      <c r="B178" s="23">
        <f>DATE(Parametry!$C$12+INT((Parametry!$C$13+176-2)/12),MOD(Parametry!$C$13+176-2,12)+1,Parametry!$C$11)</f>
        <v/>
      </c>
      <c r="C178" s="24" t="n">
        <v>176</v>
      </c>
      <c r="D178" s="25">
        <f>L177</f>
        <v/>
      </c>
      <c r="E178" s="26">
        <f>IF(C178&lt;=Parametry!$C$9,Parametry!$C$8,Parametry!$C$10)</f>
        <v/>
      </c>
      <c r="F178" s="25">
        <f>D178*E178/12</f>
        <v/>
      </c>
      <c r="G178" s="25">
        <f>Parametry!$C$7</f>
        <v/>
      </c>
      <c r="H178" s="18" t="n"/>
      <c r="I178" s="19">
        <f>Parametry!$C$7</f>
        <v/>
      </c>
      <c r="J178" s="27">
        <f>G178+IF(ISNUMBER(H178),H178,0)</f>
        <v/>
      </c>
      <c r="K178" s="25">
        <f>MAX(0,J178-F178)</f>
        <v/>
      </c>
      <c r="L178" s="27">
        <f>MAX(0,D178-K178)</f>
        <v/>
      </c>
      <c r="M178" s="28">
        <f>IF(L178&lt;=0,0,MAX(0,ROUNDUP(-LN(1-L178*(E178/12)/Parametry!$C$7)/LN(1+E178/12),0)))</f>
        <v/>
      </c>
    </row>
    <row r="179" ht="18" customHeight="1">
      <c r="A179" s="13" t="n">
        <v>177</v>
      </c>
      <c r="B179" s="14">
        <f>DATE(Parametry!$C$12+INT((Parametry!$C$13+177-2)/12),MOD(Parametry!$C$13+177-2,12)+1,Parametry!$C$11)</f>
        <v/>
      </c>
      <c r="C179" s="15" t="n">
        <v>177</v>
      </c>
      <c r="D179" s="16">
        <f>L178</f>
        <v/>
      </c>
      <c r="E179" s="17">
        <f>IF(C179&lt;=Parametry!$C$9,Parametry!$C$8,Parametry!$C$10)</f>
        <v/>
      </c>
      <c r="F179" s="16">
        <f>D179*E179/12</f>
        <v/>
      </c>
      <c r="G179" s="16">
        <f>Parametry!$C$7</f>
        <v/>
      </c>
      <c r="H179" s="18" t="n"/>
      <c r="I179" s="19">
        <f>Parametry!$C$7</f>
        <v/>
      </c>
      <c r="J179" s="20">
        <f>G179+IF(ISNUMBER(H179),H179,0)</f>
        <v/>
      </c>
      <c r="K179" s="16">
        <f>MAX(0,J179-F179)</f>
        <v/>
      </c>
      <c r="L179" s="20">
        <f>MAX(0,D179-K179)</f>
        <v/>
      </c>
      <c r="M179" s="21">
        <f>IF(L179&lt;=0,0,MAX(0,ROUNDUP(-LN(1-L179*(E179/12)/Parametry!$C$7)/LN(1+E179/12),0)))</f>
        <v/>
      </c>
    </row>
    <row r="180" ht="18" customHeight="1">
      <c r="A180" s="22" t="n">
        <v>178</v>
      </c>
      <c r="B180" s="23">
        <f>DATE(Parametry!$C$12+INT((Parametry!$C$13+178-2)/12),MOD(Parametry!$C$13+178-2,12)+1,Parametry!$C$11)</f>
        <v/>
      </c>
      <c r="C180" s="24" t="n">
        <v>178</v>
      </c>
      <c r="D180" s="25">
        <f>L179</f>
        <v/>
      </c>
      <c r="E180" s="26">
        <f>IF(C180&lt;=Parametry!$C$9,Parametry!$C$8,Parametry!$C$10)</f>
        <v/>
      </c>
      <c r="F180" s="25">
        <f>D180*E180/12</f>
        <v/>
      </c>
      <c r="G180" s="25">
        <f>Parametry!$C$7</f>
        <v/>
      </c>
      <c r="H180" s="18" t="n"/>
      <c r="I180" s="19">
        <f>Parametry!$C$7</f>
        <v/>
      </c>
      <c r="J180" s="27">
        <f>G180+IF(ISNUMBER(H180),H180,0)</f>
        <v/>
      </c>
      <c r="K180" s="25">
        <f>MAX(0,J180-F180)</f>
        <v/>
      </c>
      <c r="L180" s="27">
        <f>MAX(0,D180-K180)</f>
        <v/>
      </c>
      <c r="M180" s="28">
        <f>IF(L180&lt;=0,0,MAX(0,ROUNDUP(-LN(1-L180*(E180/12)/Parametry!$C$7)/LN(1+E180/12),0)))</f>
        <v/>
      </c>
    </row>
    <row r="181" ht="18" customHeight="1">
      <c r="A181" s="13" t="n">
        <v>179</v>
      </c>
      <c r="B181" s="14">
        <f>DATE(Parametry!$C$12+INT((Parametry!$C$13+179-2)/12),MOD(Parametry!$C$13+179-2,12)+1,Parametry!$C$11)</f>
        <v/>
      </c>
      <c r="C181" s="15" t="n">
        <v>179</v>
      </c>
      <c r="D181" s="16">
        <f>L180</f>
        <v/>
      </c>
      <c r="E181" s="17">
        <f>IF(C181&lt;=Parametry!$C$9,Parametry!$C$8,Parametry!$C$10)</f>
        <v/>
      </c>
      <c r="F181" s="16">
        <f>D181*E181/12</f>
        <v/>
      </c>
      <c r="G181" s="16">
        <f>Parametry!$C$7</f>
        <v/>
      </c>
      <c r="H181" s="18" t="n"/>
      <c r="I181" s="19">
        <f>Parametry!$C$7</f>
        <v/>
      </c>
      <c r="J181" s="20">
        <f>G181+IF(ISNUMBER(H181),H181,0)</f>
        <v/>
      </c>
      <c r="K181" s="16">
        <f>MAX(0,J181-F181)</f>
        <v/>
      </c>
      <c r="L181" s="20">
        <f>MAX(0,D181-K181)</f>
        <v/>
      </c>
      <c r="M181" s="21">
        <f>IF(L181&lt;=0,0,MAX(0,ROUNDUP(-LN(1-L181*(E181/12)/Parametry!$C$7)/LN(1+E181/12),0)))</f>
        <v/>
      </c>
    </row>
    <row r="182" ht="18" customHeight="1">
      <c r="A182" s="22" t="n">
        <v>180</v>
      </c>
      <c r="B182" s="23">
        <f>DATE(Parametry!$C$12+INT((Parametry!$C$13+180-2)/12),MOD(Parametry!$C$13+180-2,12)+1,Parametry!$C$11)</f>
        <v/>
      </c>
      <c r="C182" s="24" t="n">
        <v>180</v>
      </c>
      <c r="D182" s="25">
        <f>L181</f>
        <v/>
      </c>
      <c r="E182" s="26">
        <f>IF(C182&lt;=Parametry!$C$9,Parametry!$C$8,Parametry!$C$10)</f>
        <v/>
      </c>
      <c r="F182" s="25">
        <f>D182*E182/12</f>
        <v/>
      </c>
      <c r="G182" s="25">
        <f>Parametry!$C$7</f>
        <v/>
      </c>
      <c r="H182" s="18" t="n"/>
      <c r="I182" s="19">
        <f>Parametry!$C$7</f>
        <v/>
      </c>
      <c r="J182" s="27">
        <f>G182+IF(ISNUMBER(H182),H182,0)</f>
        <v/>
      </c>
      <c r="K182" s="25">
        <f>MAX(0,J182-F182)</f>
        <v/>
      </c>
      <c r="L182" s="27">
        <f>MAX(0,D182-K182)</f>
        <v/>
      </c>
      <c r="M182" s="28">
        <f>IF(L182&lt;=0,0,MAX(0,ROUNDUP(-LN(1-L182*(E182/12)/Parametry!$C$7)/LN(1+E182/12),0)))</f>
        <v/>
      </c>
    </row>
    <row r="183" ht="18" customHeight="1">
      <c r="A183" s="13" t="n">
        <v>181</v>
      </c>
      <c r="B183" s="14">
        <f>DATE(Parametry!$C$12+INT((Parametry!$C$13+181-2)/12),MOD(Parametry!$C$13+181-2,12)+1,Parametry!$C$11)</f>
        <v/>
      </c>
      <c r="C183" s="15" t="n">
        <v>181</v>
      </c>
      <c r="D183" s="16">
        <f>L182</f>
        <v/>
      </c>
      <c r="E183" s="17">
        <f>IF(C183&lt;=Parametry!$C$9,Parametry!$C$8,Parametry!$C$10)</f>
        <v/>
      </c>
      <c r="F183" s="16">
        <f>D183*E183/12</f>
        <v/>
      </c>
      <c r="G183" s="16">
        <f>Parametry!$C$7</f>
        <v/>
      </c>
      <c r="H183" s="18" t="n"/>
      <c r="I183" s="19">
        <f>Parametry!$C$7</f>
        <v/>
      </c>
      <c r="J183" s="20">
        <f>G183+IF(ISNUMBER(H183),H183,0)</f>
        <v/>
      </c>
      <c r="K183" s="16">
        <f>MAX(0,J183-F183)</f>
        <v/>
      </c>
      <c r="L183" s="20">
        <f>MAX(0,D183-K183)</f>
        <v/>
      </c>
      <c r="M183" s="21">
        <f>IF(L183&lt;=0,0,MAX(0,ROUNDUP(-LN(1-L183*(E183/12)/Parametry!$C$7)/LN(1+E183/12),0)))</f>
        <v/>
      </c>
    </row>
    <row r="184" ht="18" customHeight="1">
      <c r="A184" s="22" t="n">
        <v>182</v>
      </c>
      <c r="B184" s="23">
        <f>DATE(Parametry!$C$12+INT((Parametry!$C$13+182-2)/12),MOD(Parametry!$C$13+182-2,12)+1,Parametry!$C$11)</f>
        <v/>
      </c>
      <c r="C184" s="24" t="n">
        <v>182</v>
      </c>
      <c r="D184" s="25">
        <f>L183</f>
        <v/>
      </c>
      <c r="E184" s="26">
        <f>IF(C184&lt;=Parametry!$C$9,Parametry!$C$8,Parametry!$C$10)</f>
        <v/>
      </c>
      <c r="F184" s="25">
        <f>D184*E184/12</f>
        <v/>
      </c>
      <c r="G184" s="25">
        <f>Parametry!$C$7</f>
        <v/>
      </c>
      <c r="H184" s="18" t="n"/>
      <c r="I184" s="19">
        <f>Parametry!$C$7</f>
        <v/>
      </c>
      <c r="J184" s="27">
        <f>G184+IF(ISNUMBER(H184),H184,0)</f>
        <v/>
      </c>
      <c r="K184" s="25">
        <f>MAX(0,J184-F184)</f>
        <v/>
      </c>
      <c r="L184" s="27">
        <f>MAX(0,D184-K184)</f>
        <v/>
      </c>
      <c r="M184" s="28">
        <f>IF(L184&lt;=0,0,MAX(0,ROUNDUP(-LN(1-L184*(E184/12)/Parametry!$C$7)/LN(1+E184/12),0)))</f>
        <v/>
      </c>
    </row>
    <row r="185" ht="18" customHeight="1">
      <c r="A185" s="13" t="n">
        <v>183</v>
      </c>
      <c r="B185" s="14">
        <f>DATE(Parametry!$C$12+INT((Parametry!$C$13+183-2)/12),MOD(Parametry!$C$13+183-2,12)+1,Parametry!$C$11)</f>
        <v/>
      </c>
      <c r="C185" s="15" t="n">
        <v>183</v>
      </c>
      <c r="D185" s="16">
        <f>L184</f>
        <v/>
      </c>
      <c r="E185" s="17">
        <f>IF(C185&lt;=Parametry!$C$9,Parametry!$C$8,Parametry!$C$10)</f>
        <v/>
      </c>
      <c r="F185" s="16">
        <f>D185*E185/12</f>
        <v/>
      </c>
      <c r="G185" s="16">
        <f>Parametry!$C$7</f>
        <v/>
      </c>
      <c r="H185" s="18" t="n"/>
      <c r="I185" s="19">
        <f>Parametry!$C$7</f>
        <v/>
      </c>
      <c r="J185" s="20">
        <f>G185+IF(ISNUMBER(H185),H185,0)</f>
        <v/>
      </c>
      <c r="K185" s="16">
        <f>MAX(0,J185-F185)</f>
        <v/>
      </c>
      <c r="L185" s="20">
        <f>MAX(0,D185-K185)</f>
        <v/>
      </c>
      <c r="M185" s="21">
        <f>IF(L185&lt;=0,0,MAX(0,ROUNDUP(-LN(1-L185*(E185/12)/Parametry!$C$7)/LN(1+E185/12),0)))</f>
        <v/>
      </c>
    </row>
    <row r="186" ht="18" customHeight="1">
      <c r="A186" s="22" t="n">
        <v>184</v>
      </c>
      <c r="B186" s="23">
        <f>DATE(Parametry!$C$12+INT((Parametry!$C$13+184-2)/12),MOD(Parametry!$C$13+184-2,12)+1,Parametry!$C$11)</f>
        <v/>
      </c>
      <c r="C186" s="24" t="n">
        <v>184</v>
      </c>
      <c r="D186" s="25">
        <f>L185</f>
        <v/>
      </c>
      <c r="E186" s="26">
        <f>IF(C186&lt;=Parametry!$C$9,Parametry!$C$8,Parametry!$C$10)</f>
        <v/>
      </c>
      <c r="F186" s="25">
        <f>D186*E186/12</f>
        <v/>
      </c>
      <c r="G186" s="25">
        <f>Parametry!$C$7</f>
        <v/>
      </c>
      <c r="H186" s="18" t="n"/>
      <c r="I186" s="19">
        <f>Parametry!$C$7</f>
        <v/>
      </c>
      <c r="J186" s="27">
        <f>G186+IF(ISNUMBER(H186),H186,0)</f>
        <v/>
      </c>
      <c r="K186" s="25">
        <f>MAX(0,J186-F186)</f>
        <v/>
      </c>
      <c r="L186" s="27">
        <f>MAX(0,D186-K186)</f>
        <v/>
      </c>
      <c r="M186" s="28">
        <f>IF(L186&lt;=0,0,MAX(0,ROUNDUP(-LN(1-L186*(E186/12)/Parametry!$C$7)/LN(1+E186/12),0)))</f>
        <v/>
      </c>
    </row>
    <row r="187" ht="18" customHeight="1">
      <c r="A187" s="13" t="n">
        <v>185</v>
      </c>
      <c r="B187" s="14">
        <f>DATE(Parametry!$C$12+INT((Parametry!$C$13+185-2)/12),MOD(Parametry!$C$13+185-2,12)+1,Parametry!$C$11)</f>
        <v/>
      </c>
      <c r="C187" s="15" t="n">
        <v>185</v>
      </c>
      <c r="D187" s="16">
        <f>L186</f>
        <v/>
      </c>
      <c r="E187" s="17">
        <f>IF(C187&lt;=Parametry!$C$9,Parametry!$C$8,Parametry!$C$10)</f>
        <v/>
      </c>
      <c r="F187" s="16">
        <f>D187*E187/12</f>
        <v/>
      </c>
      <c r="G187" s="16">
        <f>Parametry!$C$7</f>
        <v/>
      </c>
      <c r="H187" s="18" t="n"/>
      <c r="I187" s="19">
        <f>Parametry!$C$7</f>
        <v/>
      </c>
      <c r="J187" s="20">
        <f>G187+IF(ISNUMBER(H187),H187,0)</f>
        <v/>
      </c>
      <c r="K187" s="16">
        <f>MAX(0,J187-F187)</f>
        <v/>
      </c>
      <c r="L187" s="20">
        <f>MAX(0,D187-K187)</f>
        <v/>
      </c>
      <c r="M187" s="21">
        <f>IF(L187&lt;=0,0,MAX(0,ROUNDUP(-LN(1-L187*(E187/12)/Parametry!$C$7)/LN(1+E187/12),0)))</f>
        <v/>
      </c>
    </row>
    <row r="188" ht="18" customHeight="1">
      <c r="A188" s="22" t="n">
        <v>186</v>
      </c>
      <c r="B188" s="23">
        <f>DATE(Parametry!$C$12+INT((Parametry!$C$13+186-2)/12),MOD(Parametry!$C$13+186-2,12)+1,Parametry!$C$11)</f>
        <v/>
      </c>
      <c r="C188" s="24" t="n">
        <v>186</v>
      </c>
      <c r="D188" s="25">
        <f>L187</f>
        <v/>
      </c>
      <c r="E188" s="26">
        <f>IF(C188&lt;=Parametry!$C$9,Parametry!$C$8,Parametry!$C$10)</f>
        <v/>
      </c>
      <c r="F188" s="25">
        <f>D188*E188/12</f>
        <v/>
      </c>
      <c r="G188" s="25">
        <f>Parametry!$C$7</f>
        <v/>
      </c>
      <c r="H188" s="18" t="n"/>
      <c r="I188" s="19">
        <f>Parametry!$C$7</f>
        <v/>
      </c>
      <c r="J188" s="27">
        <f>G188+IF(ISNUMBER(H188),H188,0)</f>
        <v/>
      </c>
      <c r="K188" s="25">
        <f>MAX(0,J188-F188)</f>
        <v/>
      </c>
      <c r="L188" s="27">
        <f>MAX(0,D188-K188)</f>
        <v/>
      </c>
      <c r="M188" s="28">
        <f>IF(L188&lt;=0,0,MAX(0,ROUNDUP(-LN(1-L188*(E188/12)/Parametry!$C$7)/LN(1+E188/12),0)))</f>
        <v/>
      </c>
    </row>
    <row r="189" ht="18" customHeight="1">
      <c r="A189" s="13" t="n">
        <v>187</v>
      </c>
      <c r="B189" s="14">
        <f>DATE(Parametry!$C$12+INT((Parametry!$C$13+187-2)/12),MOD(Parametry!$C$13+187-2,12)+1,Parametry!$C$11)</f>
        <v/>
      </c>
      <c r="C189" s="15" t="n">
        <v>187</v>
      </c>
      <c r="D189" s="16">
        <f>L188</f>
        <v/>
      </c>
      <c r="E189" s="17">
        <f>IF(C189&lt;=Parametry!$C$9,Parametry!$C$8,Parametry!$C$10)</f>
        <v/>
      </c>
      <c r="F189" s="16">
        <f>D189*E189/12</f>
        <v/>
      </c>
      <c r="G189" s="16">
        <f>Parametry!$C$7</f>
        <v/>
      </c>
      <c r="H189" s="18" t="n"/>
      <c r="I189" s="19">
        <f>Parametry!$C$7</f>
        <v/>
      </c>
      <c r="J189" s="20">
        <f>G189+IF(ISNUMBER(H189),H189,0)</f>
        <v/>
      </c>
      <c r="K189" s="16">
        <f>MAX(0,J189-F189)</f>
        <v/>
      </c>
      <c r="L189" s="20">
        <f>MAX(0,D189-K189)</f>
        <v/>
      </c>
      <c r="M189" s="21">
        <f>IF(L189&lt;=0,0,MAX(0,ROUNDUP(-LN(1-L189*(E189/12)/Parametry!$C$7)/LN(1+E189/12),0)))</f>
        <v/>
      </c>
    </row>
    <row r="190" ht="18" customHeight="1">
      <c r="A190" s="22" t="n">
        <v>188</v>
      </c>
      <c r="B190" s="23">
        <f>DATE(Parametry!$C$12+INT((Parametry!$C$13+188-2)/12),MOD(Parametry!$C$13+188-2,12)+1,Parametry!$C$11)</f>
        <v/>
      </c>
      <c r="C190" s="24" t="n">
        <v>188</v>
      </c>
      <c r="D190" s="25">
        <f>L189</f>
        <v/>
      </c>
      <c r="E190" s="26">
        <f>IF(C190&lt;=Parametry!$C$9,Parametry!$C$8,Parametry!$C$10)</f>
        <v/>
      </c>
      <c r="F190" s="25">
        <f>D190*E190/12</f>
        <v/>
      </c>
      <c r="G190" s="25">
        <f>Parametry!$C$7</f>
        <v/>
      </c>
      <c r="H190" s="18" t="n"/>
      <c r="I190" s="19">
        <f>Parametry!$C$7</f>
        <v/>
      </c>
      <c r="J190" s="27">
        <f>G190+IF(ISNUMBER(H190),H190,0)</f>
        <v/>
      </c>
      <c r="K190" s="25">
        <f>MAX(0,J190-F190)</f>
        <v/>
      </c>
      <c r="L190" s="27">
        <f>MAX(0,D190-K190)</f>
        <v/>
      </c>
      <c r="M190" s="28">
        <f>IF(L190&lt;=0,0,MAX(0,ROUNDUP(-LN(1-L190*(E190/12)/Parametry!$C$7)/LN(1+E190/12),0)))</f>
        <v/>
      </c>
    </row>
    <row r="191" ht="18" customHeight="1">
      <c r="A191" s="13" t="n">
        <v>189</v>
      </c>
      <c r="B191" s="14">
        <f>DATE(Parametry!$C$12+INT((Parametry!$C$13+189-2)/12),MOD(Parametry!$C$13+189-2,12)+1,Parametry!$C$11)</f>
        <v/>
      </c>
      <c r="C191" s="15" t="n">
        <v>189</v>
      </c>
      <c r="D191" s="16">
        <f>L190</f>
        <v/>
      </c>
      <c r="E191" s="17">
        <f>IF(C191&lt;=Parametry!$C$9,Parametry!$C$8,Parametry!$C$10)</f>
        <v/>
      </c>
      <c r="F191" s="16">
        <f>D191*E191/12</f>
        <v/>
      </c>
      <c r="G191" s="16">
        <f>Parametry!$C$7</f>
        <v/>
      </c>
      <c r="H191" s="18" t="n"/>
      <c r="I191" s="19">
        <f>Parametry!$C$7</f>
        <v/>
      </c>
      <c r="J191" s="20">
        <f>G191+IF(ISNUMBER(H191),H191,0)</f>
        <v/>
      </c>
      <c r="K191" s="16">
        <f>MAX(0,J191-F191)</f>
        <v/>
      </c>
      <c r="L191" s="20">
        <f>MAX(0,D191-K191)</f>
        <v/>
      </c>
      <c r="M191" s="21">
        <f>IF(L191&lt;=0,0,MAX(0,ROUNDUP(-LN(1-L191*(E191/12)/Parametry!$C$7)/LN(1+E191/12),0)))</f>
        <v/>
      </c>
    </row>
    <row r="192" ht="18" customHeight="1">
      <c r="A192" s="22" t="n">
        <v>190</v>
      </c>
      <c r="B192" s="23">
        <f>DATE(Parametry!$C$12+INT((Parametry!$C$13+190-2)/12),MOD(Parametry!$C$13+190-2,12)+1,Parametry!$C$11)</f>
        <v/>
      </c>
      <c r="C192" s="24" t="n">
        <v>190</v>
      </c>
      <c r="D192" s="25">
        <f>L191</f>
        <v/>
      </c>
      <c r="E192" s="26">
        <f>IF(C192&lt;=Parametry!$C$9,Parametry!$C$8,Parametry!$C$10)</f>
        <v/>
      </c>
      <c r="F192" s="25">
        <f>D192*E192/12</f>
        <v/>
      </c>
      <c r="G192" s="25">
        <f>Parametry!$C$7</f>
        <v/>
      </c>
      <c r="H192" s="18" t="n"/>
      <c r="I192" s="19">
        <f>Parametry!$C$7</f>
        <v/>
      </c>
      <c r="J192" s="27">
        <f>G192+IF(ISNUMBER(H192),H192,0)</f>
        <v/>
      </c>
      <c r="K192" s="25">
        <f>MAX(0,J192-F192)</f>
        <v/>
      </c>
      <c r="L192" s="27">
        <f>MAX(0,D192-K192)</f>
        <v/>
      </c>
      <c r="M192" s="28">
        <f>IF(L192&lt;=0,0,MAX(0,ROUNDUP(-LN(1-L192*(E192/12)/Parametry!$C$7)/LN(1+E192/12),0)))</f>
        <v/>
      </c>
    </row>
    <row r="193" ht="18" customHeight="1">
      <c r="A193" s="13" t="n">
        <v>191</v>
      </c>
      <c r="B193" s="14">
        <f>DATE(Parametry!$C$12+INT((Parametry!$C$13+191-2)/12),MOD(Parametry!$C$13+191-2,12)+1,Parametry!$C$11)</f>
        <v/>
      </c>
      <c r="C193" s="15" t="n">
        <v>191</v>
      </c>
      <c r="D193" s="16">
        <f>L192</f>
        <v/>
      </c>
      <c r="E193" s="17">
        <f>IF(C193&lt;=Parametry!$C$9,Parametry!$C$8,Parametry!$C$10)</f>
        <v/>
      </c>
      <c r="F193" s="16">
        <f>D193*E193/12</f>
        <v/>
      </c>
      <c r="G193" s="16">
        <f>Parametry!$C$7</f>
        <v/>
      </c>
      <c r="H193" s="18" t="n"/>
      <c r="I193" s="19">
        <f>Parametry!$C$7</f>
        <v/>
      </c>
      <c r="J193" s="20">
        <f>G193+IF(ISNUMBER(H193),H193,0)</f>
        <v/>
      </c>
      <c r="K193" s="16">
        <f>MAX(0,J193-F193)</f>
        <v/>
      </c>
      <c r="L193" s="20">
        <f>MAX(0,D193-K193)</f>
        <v/>
      </c>
      <c r="M193" s="21">
        <f>IF(L193&lt;=0,0,MAX(0,ROUNDUP(-LN(1-L193*(E193/12)/Parametry!$C$7)/LN(1+E193/12),0)))</f>
        <v/>
      </c>
    </row>
    <row r="194" ht="18" customHeight="1">
      <c r="A194" s="22" t="n">
        <v>192</v>
      </c>
      <c r="B194" s="23">
        <f>DATE(Parametry!$C$12+INT((Parametry!$C$13+192-2)/12),MOD(Parametry!$C$13+192-2,12)+1,Parametry!$C$11)</f>
        <v/>
      </c>
      <c r="C194" s="24" t="n">
        <v>192</v>
      </c>
      <c r="D194" s="25">
        <f>L193</f>
        <v/>
      </c>
      <c r="E194" s="26">
        <f>IF(C194&lt;=Parametry!$C$9,Parametry!$C$8,Parametry!$C$10)</f>
        <v/>
      </c>
      <c r="F194" s="25">
        <f>D194*E194/12</f>
        <v/>
      </c>
      <c r="G194" s="25">
        <f>Parametry!$C$7</f>
        <v/>
      </c>
      <c r="H194" s="18" t="n"/>
      <c r="I194" s="19">
        <f>Parametry!$C$7</f>
        <v/>
      </c>
      <c r="J194" s="27">
        <f>G194+IF(ISNUMBER(H194),H194,0)</f>
        <v/>
      </c>
      <c r="K194" s="25">
        <f>MAX(0,J194-F194)</f>
        <v/>
      </c>
      <c r="L194" s="27">
        <f>MAX(0,D194-K194)</f>
        <v/>
      </c>
      <c r="M194" s="28">
        <f>IF(L194&lt;=0,0,MAX(0,ROUNDUP(-LN(1-L194*(E194/12)/Parametry!$C$7)/LN(1+E194/12),0)))</f>
        <v/>
      </c>
    </row>
    <row r="195" ht="18" customHeight="1">
      <c r="A195" s="13" t="n">
        <v>193</v>
      </c>
      <c r="B195" s="14">
        <f>DATE(Parametry!$C$12+INT((Parametry!$C$13+193-2)/12),MOD(Parametry!$C$13+193-2,12)+1,Parametry!$C$11)</f>
        <v/>
      </c>
      <c r="C195" s="15" t="n">
        <v>193</v>
      </c>
      <c r="D195" s="16">
        <f>L194</f>
        <v/>
      </c>
      <c r="E195" s="17">
        <f>IF(C195&lt;=Parametry!$C$9,Parametry!$C$8,Parametry!$C$10)</f>
        <v/>
      </c>
      <c r="F195" s="16">
        <f>D195*E195/12</f>
        <v/>
      </c>
      <c r="G195" s="16">
        <f>Parametry!$C$7</f>
        <v/>
      </c>
      <c r="H195" s="18" t="n"/>
      <c r="I195" s="19">
        <f>Parametry!$C$7</f>
        <v/>
      </c>
      <c r="J195" s="20">
        <f>G195+IF(ISNUMBER(H195),H195,0)</f>
        <v/>
      </c>
      <c r="K195" s="16">
        <f>MAX(0,J195-F195)</f>
        <v/>
      </c>
      <c r="L195" s="20">
        <f>MAX(0,D195-K195)</f>
        <v/>
      </c>
      <c r="M195" s="21">
        <f>IF(L195&lt;=0,0,MAX(0,ROUNDUP(-LN(1-L195*(E195/12)/Parametry!$C$7)/LN(1+E195/12),0)))</f>
        <v/>
      </c>
    </row>
    <row r="196" ht="18" customHeight="1">
      <c r="A196" s="22" t="n">
        <v>194</v>
      </c>
      <c r="B196" s="23">
        <f>DATE(Parametry!$C$12+INT((Parametry!$C$13+194-2)/12),MOD(Parametry!$C$13+194-2,12)+1,Parametry!$C$11)</f>
        <v/>
      </c>
      <c r="C196" s="24" t="n">
        <v>194</v>
      </c>
      <c r="D196" s="25">
        <f>L195</f>
        <v/>
      </c>
      <c r="E196" s="26">
        <f>IF(C196&lt;=Parametry!$C$9,Parametry!$C$8,Parametry!$C$10)</f>
        <v/>
      </c>
      <c r="F196" s="25">
        <f>D196*E196/12</f>
        <v/>
      </c>
      <c r="G196" s="25">
        <f>Parametry!$C$7</f>
        <v/>
      </c>
      <c r="H196" s="18" t="n"/>
      <c r="I196" s="19">
        <f>Parametry!$C$7</f>
        <v/>
      </c>
      <c r="J196" s="27">
        <f>G196+IF(ISNUMBER(H196),H196,0)</f>
        <v/>
      </c>
      <c r="K196" s="25">
        <f>MAX(0,J196-F196)</f>
        <v/>
      </c>
      <c r="L196" s="27">
        <f>MAX(0,D196-K196)</f>
        <v/>
      </c>
      <c r="M196" s="28">
        <f>IF(L196&lt;=0,0,MAX(0,ROUNDUP(-LN(1-L196*(E196/12)/Parametry!$C$7)/LN(1+E196/12),0)))</f>
        <v/>
      </c>
    </row>
    <row r="197" ht="18" customHeight="1">
      <c r="A197" s="13" t="n">
        <v>195</v>
      </c>
      <c r="B197" s="14">
        <f>DATE(Parametry!$C$12+INT((Parametry!$C$13+195-2)/12),MOD(Parametry!$C$13+195-2,12)+1,Parametry!$C$11)</f>
        <v/>
      </c>
      <c r="C197" s="15" t="n">
        <v>195</v>
      </c>
      <c r="D197" s="16">
        <f>L196</f>
        <v/>
      </c>
      <c r="E197" s="17">
        <f>IF(C197&lt;=Parametry!$C$9,Parametry!$C$8,Parametry!$C$10)</f>
        <v/>
      </c>
      <c r="F197" s="16">
        <f>D197*E197/12</f>
        <v/>
      </c>
      <c r="G197" s="16">
        <f>Parametry!$C$7</f>
        <v/>
      </c>
      <c r="H197" s="18" t="n"/>
      <c r="I197" s="19">
        <f>Parametry!$C$7</f>
        <v/>
      </c>
      <c r="J197" s="20">
        <f>G197+IF(ISNUMBER(H197),H197,0)</f>
        <v/>
      </c>
      <c r="K197" s="16">
        <f>MAX(0,J197-F197)</f>
        <v/>
      </c>
      <c r="L197" s="20">
        <f>MAX(0,D197-K197)</f>
        <v/>
      </c>
      <c r="M197" s="21">
        <f>IF(L197&lt;=0,0,MAX(0,ROUNDUP(-LN(1-L197*(E197/12)/Parametry!$C$7)/LN(1+E197/12),0)))</f>
        <v/>
      </c>
    </row>
    <row r="198" ht="18" customHeight="1">
      <c r="A198" s="22" t="n">
        <v>196</v>
      </c>
      <c r="B198" s="23">
        <f>DATE(Parametry!$C$12+INT((Parametry!$C$13+196-2)/12),MOD(Parametry!$C$13+196-2,12)+1,Parametry!$C$11)</f>
        <v/>
      </c>
      <c r="C198" s="24" t="n">
        <v>196</v>
      </c>
      <c r="D198" s="25">
        <f>L197</f>
        <v/>
      </c>
      <c r="E198" s="26">
        <f>IF(C198&lt;=Parametry!$C$9,Parametry!$C$8,Parametry!$C$10)</f>
        <v/>
      </c>
      <c r="F198" s="25">
        <f>D198*E198/12</f>
        <v/>
      </c>
      <c r="G198" s="25">
        <f>Parametry!$C$7</f>
        <v/>
      </c>
      <c r="H198" s="18" t="n"/>
      <c r="I198" s="19">
        <f>Parametry!$C$7</f>
        <v/>
      </c>
      <c r="J198" s="27">
        <f>G198+IF(ISNUMBER(H198),H198,0)</f>
        <v/>
      </c>
      <c r="K198" s="25">
        <f>MAX(0,J198-F198)</f>
        <v/>
      </c>
      <c r="L198" s="27">
        <f>MAX(0,D198-K198)</f>
        <v/>
      </c>
      <c r="M198" s="28">
        <f>IF(L198&lt;=0,0,MAX(0,ROUNDUP(-LN(1-L198*(E198/12)/Parametry!$C$7)/LN(1+E198/12),0)))</f>
        <v/>
      </c>
    </row>
    <row r="199" ht="18" customHeight="1">
      <c r="A199" s="13" t="n">
        <v>197</v>
      </c>
      <c r="B199" s="14">
        <f>DATE(Parametry!$C$12+INT((Parametry!$C$13+197-2)/12),MOD(Parametry!$C$13+197-2,12)+1,Parametry!$C$11)</f>
        <v/>
      </c>
      <c r="C199" s="15" t="n">
        <v>197</v>
      </c>
      <c r="D199" s="16">
        <f>L198</f>
        <v/>
      </c>
      <c r="E199" s="17">
        <f>IF(C199&lt;=Parametry!$C$9,Parametry!$C$8,Parametry!$C$10)</f>
        <v/>
      </c>
      <c r="F199" s="16">
        <f>D199*E199/12</f>
        <v/>
      </c>
      <c r="G199" s="16">
        <f>Parametry!$C$7</f>
        <v/>
      </c>
      <c r="H199" s="18" t="n"/>
      <c r="I199" s="19">
        <f>Parametry!$C$7</f>
        <v/>
      </c>
      <c r="J199" s="20">
        <f>G199+IF(ISNUMBER(H199),H199,0)</f>
        <v/>
      </c>
      <c r="K199" s="16">
        <f>MAX(0,J199-F199)</f>
        <v/>
      </c>
      <c r="L199" s="20">
        <f>MAX(0,D199-K199)</f>
        <v/>
      </c>
      <c r="M199" s="21">
        <f>IF(L199&lt;=0,0,MAX(0,ROUNDUP(-LN(1-L199*(E199/12)/Parametry!$C$7)/LN(1+E199/12),0)))</f>
        <v/>
      </c>
    </row>
    <row r="200" ht="18" customHeight="1">
      <c r="A200" s="22" t="n">
        <v>198</v>
      </c>
      <c r="B200" s="23">
        <f>DATE(Parametry!$C$12+INT((Parametry!$C$13+198-2)/12),MOD(Parametry!$C$13+198-2,12)+1,Parametry!$C$11)</f>
        <v/>
      </c>
      <c r="C200" s="24" t="n">
        <v>198</v>
      </c>
      <c r="D200" s="25">
        <f>L199</f>
        <v/>
      </c>
      <c r="E200" s="26">
        <f>IF(C200&lt;=Parametry!$C$9,Parametry!$C$8,Parametry!$C$10)</f>
        <v/>
      </c>
      <c r="F200" s="25">
        <f>D200*E200/12</f>
        <v/>
      </c>
      <c r="G200" s="25">
        <f>Parametry!$C$7</f>
        <v/>
      </c>
      <c r="H200" s="18" t="n"/>
      <c r="I200" s="19">
        <f>Parametry!$C$7</f>
        <v/>
      </c>
      <c r="J200" s="27">
        <f>G200+IF(ISNUMBER(H200),H200,0)</f>
        <v/>
      </c>
      <c r="K200" s="25">
        <f>MAX(0,J200-F200)</f>
        <v/>
      </c>
      <c r="L200" s="27">
        <f>MAX(0,D200-K200)</f>
        <v/>
      </c>
      <c r="M200" s="28">
        <f>IF(L200&lt;=0,0,MAX(0,ROUNDUP(-LN(1-L200*(E200/12)/Parametry!$C$7)/LN(1+E200/12),0)))</f>
        <v/>
      </c>
    </row>
    <row r="201" ht="18" customHeight="1">
      <c r="A201" s="13" t="n">
        <v>199</v>
      </c>
      <c r="B201" s="14">
        <f>DATE(Parametry!$C$12+INT((Parametry!$C$13+199-2)/12),MOD(Parametry!$C$13+199-2,12)+1,Parametry!$C$11)</f>
        <v/>
      </c>
      <c r="C201" s="15" t="n">
        <v>199</v>
      </c>
      <c r="D201" s="16">
        <f>L200</f>
        <v/>
      </c>
      <c r="E201" s="17">
        <f>IF(C201&lt;=Parametry!$C$9,Parametry!$C$8,Parametry!$C$10)</f>
        <v/>
      </c>
      <c r="F201" s="16">
        <f>D201*E201/12</f>
        <v/>
      </c>
      <c r="G201" s="16">
        <f>Parametry!$C$7</f>
        <v/>
      </c>
      <c r="H201" s="18" t="n"/>
      <c r="I201" s="19">
        <f>Parametry!$C$7</f>
        <v/>
      </c>
      <c r="J201" s="20">
        <f>G201+IF(ISNUMBER(H201),H201,0)</f>
        <v/>
      </c>
      <c r="K201" s="16">
        <f>MAX(0,J201-F201)</f>
        <v/>
      </c>
      <c r="L201" s="20">
        <f>MAX(0,D201-K201)</f>
        <v/>
      </c>
      <c r="M201" s="21">
        <f>IF(L201&lt;=0,0,MAX(0,ROUNDUP(-LN(1-L201*(E201/12)/Parametry!$C$7)/LN(1+E201/12),0)))</f>
        <v/>
      </c>
    </row>
    <row r="202" ht="18" customHeight="1">
      <c r="A202" s="22" t="n">
        <v>200</v>
      </c>
      <c r="B202" s="23">
        <f>DATE(Parametry!$C$12+INT((Parametry!$C$13+200-2)/12),MOD(Parametry!$C$13+200-2,12)+1,Parametry!$C$11)</f>
        <v/>
      </c>
      <c r="C202" s="24" t="n">
        <v>200</v>
      </c>
      <c r="D202" s="25">
        <f>L201</f>
        <v/>
      </c>
      <c r="E202" s="26">
        <f>IF(C202&lt;=Parametry!$C$9,Parametry!$C$8,Parametry!$C$10)</f>
        <v/>
      </c>
      <c r="F202" s="25">
        <f>D202*E202/12</f>
        <v/>
      </c>
      <c r="G202" s="25">
        <f>Parametry!$C$7</f>
        <v/>
      </c>
      <c r="H202" s="18" t="n"/>
      <c r="I202" s="19">
        <f>Parametry!$C$7</f>
        <v/>
      </c>
      <c r="J202" s="27">
        <f>G202+IF(ISNUMBER(H202),H202,0)</f>
        <v/>
      </c>
      <c r="K202" s="25">
        <f>MAX(0,J202-F202)</f>
        <v/>
      </c>
      <c r="L202" s="27">
        <f>MAX(0,D202-K202)</f>
        <v/>
      </c>
      <c r="M202" s="28">
        <f>IF(L202&lt;=0,0,MAX(0,ROUNDUP(-LN(1-L202*(E202/12)/Parametry!$C$7)/LN(1+E202/12),0)))</f>
        <v/>
      </c>
    </row>
    <row r="203" ht="18" customHeight="1">
      <c r="A203" s="13" t="n">
        <v>201</v>
      </c>
      <c r="B203" s="14">
        <f>DATE(Parametry!$C$12+INT((Parametry!$C$13+201-2)/12),MOD(Parametry!$C$13+201-2,12)+1,Parametry!$C$11)</f>
        <v/>
      </c>
      <c r="C203" s="15" t="n">
        <v>201</v>
      </c>
      <c r="D203" s="16">
        <f>L202</f>
        <v/>
      </c>
      <c r="E203" s="17">
        <f>IF(C203&lt;=Parametry!$C$9,Parametry!$C$8,Parametry!$C$10)</f>
        <v/>
      </c>
      <c r="F203" s="16">
        <f>D203*E203/12</f>
        <v/>
      </c>
      <c r="G203" s="16">
        <f>Parametry!$C$7</f>
        <v/>
      </c>
      <c r="H203" s="18" t="n"/>
      <c r="I203" s="19">
        <f>Parametry!$C$7</f>
        <v/>
      </c>
      <c r="J203" s="20">
        <f>G203+IF(ISNUMBER(H203),H203,0)</f>
        <v/>
      </c>
      <c r="K203" s="16">
        <f>MAX(0,J203-F203)</f>
        <v/>
      </c>
      <c r="L203" s="20">
        <f>MAX(0,D203-K203)</f>
        <v/>
      </c>
      <c r="M203" s="21">
        <f>IF(L203&lt;=0,0,MAX(0,ROUNDUP(-LN(1-L203*(E203/12)/Parametry!$C$7)/LN(1+E203/12),0)))</f>
        <v/>
      </c>
    </row>
    <row r="204" ht="18" customHeight="1">
      <c r="A204" s="22" t="n">
        <v>202</v>
      </c>
      <c r="B204" s="23">
        <f>DATE(Parametry!$C$12+INT((Parametry!$C$13+202-2)/12),MOD(Parametry!$C$13+202-2,12)+1,Parametry!$C$11)</f>
        <v/>
      </c>
      <c r="C204" s="24" t="n">
        <v>202</v>
      </c>
      <c r="D204" s="25">
        <f>L203</f>
        <v/>
      </c>
      <c r="E204" s="26">
        <f>IF(C204&lt;=Parametry!$C$9,Parametry!$C$8,Parametry!$C$10)</f>
        <v/>
      </c>
      <c r="F204" s="25">
        <f>D204*E204/12</f>
        <v/>
      </c>
      <c r="G204" s="25">
        <f>Parametry!$C$7</f>
        <v/>
      </c>
      <c r="H204" s="18" t="n"/>
      <c r="I204" s="19">
        <f>Parametry!$C$7</f>
        <v/>
      </c>
      <c r="J204" s="27">
        <f>G204+IF(ISNUMBER(H204),H204,0)</f>
        <v/>
      </c>
      <c r="K204" s="25">
        <f>MAX(0,J204-F204)</f>
        <v/>
      </c>
      <c r="L204" s="27">
        <f>MAX(0,D204-K204)</f>
        <v/>
      </c>
      <c r="M204" s="28">
        <f>IF(L204&lt;=0,0,MAX(0,ROUNDUP(-LN(1-L204*(E204/12)/Parametry!$C$7)/LN(1+E204/12),0)))</f>
        <v/>
      </c>
    </row>
    <row r="205" ht="18" customHeight="1">
      <c r="A205" s="13" t="n">
        <v>203</v>
      </c>
      <c r="B205" s="14">
        <f>DATE(Parametry!$C$12+INT((Parametry!$C$13+203-2)/12),MOD(Parametry!$C$13+203-2,12)+1,Parametry!$C$11)</f>
        <v/>
      </c>
      <c r="C205" s="15" t="n">
        <v>203</v>
      </c>
      <c r="D205" s="16">
        <f>L204</f>
        <v/>
      </c>
      <c r="E205" s="17">
        <f>IF(C205&lt;=Parametry!$C$9,Parametry!$C$8,Parametry!$C$10)</f>
        <v/>
      </c>
      <c r="F205" s="16">
        <f>D205*E205/12</f>
        <v/>
      </c>
      <c r="G205" s="16">
        <f>Parametry!$C$7</f>
        <v/>
      </c>
      <c r="H205" s="18" t="n"/>
      <c r="I205" s="19">
        <f>Parametry!$C$7</f>
        <v/>
      </c>
      <c r="J205" s="20">
        <f>G205+IF(ISNUMBER(H205),H205,0)</f>
        <v/>
      </c>
      <c r="K205" s="16">
        <f>MAX(0,J205-F205)</f>
        <v/>
      </c>
      <c r="L205" s="20">
        <f>MAX(0,D205-K205)</f>
        <v/>
      </c>
      <c r="M205" s="21">
        <f>IF(L205&lt;=0,0,MAX(0,ROUNDUP(-LN(1-L205*(E205/12)/Parametry!$C$7)/LN(1+E205/12),0)))</f>
        <v/>
      </c>
    </row>
    <row r="206" ht="18" customHeight="1">
      <c r="A206" s="22" t="n">
        <v>204</v>
      </c>
      <c r="B206" s="23">
        <f>DATE(Parametry!$C$12+INT((Parametry!$C$13+204-2)/12),MOD(Parametry!$C$13+204-2,12)+1,Parametry!$C$11)</f>
        <v/>
      </c>
      <c r="C206" s="24" t="n">
        <v>204</v>
      </c>
      <c r="D206" s="25">
        <f>L205</f>
        <v/>
      </c>
      <c r="E206" s="26">
        <f>IF(C206&lt;=Parametry!$C$9,Parametry!$C$8,Parametry!$C$10)</f>
        <v/>
      </c>
      <c r="F206" s="25">
        <f>D206*E206/12</f>
        <v/>
      </c>
      <c r="G206" s="25">
        <f>Parametry!$C$7</f>
        <v/>
      </c>
      <c r="H206" s="18" t="n"/>
      <c r="I206" s="19">
        <f>Parametry!$C$7</f>
        <v/>
      </c>
      <c r="J206" s="27">
        <f>G206+IF(ISNUMBER(H206),H206,0)</f>
        <v/>
      </c>
      <c r="K206" s="25">
        <f>MAX(0,J206-F206)</f>
        <v/>
      </c>
      <c r="L206" s="27">
        <f>MAX(0,D206-K206)</f>
        <v/>
      </c>
      <c r="M206" s="28">
        <f>IF(L206&lt;=0,0,MAX(0,ROUNDUP(-LN(1-L206*(E206/12)/Parametry!$C$7)/LN(1+E206/12),0)))</f>
        <v/>
      </c>
    </row>
    <row r="207" ht="18" customHeight="1">
      <c r="A207" s="13" t="n">
        <v>205</v>
      </c>
      <c r="B207" s="14">
        <f>DATE(Parametry!$C$12+INT((Parametry!$C$13+205-2)/12),MOD(Parametry!$C$13+205-2,12)+1,Parametry!$C$11)</f>
        <v/>
      </c>
      <c r="C207" s="15" t="n">
        <v>205</v>
      </c>
      <c r="D207" s="16">
        <f>L206</f>
        <v/>
      </c>
      <c r="E207" s="17">
        <f>IF(C207&lt;=Parametry!$C$9,Parametry!$C$8,Parametry!$C$10)</f>
        <v/>
      </c>
      <c r="F207" s="16">
        <f>D207*E207/12</f>
        <v/>
      </c>
      <c r="G207" s="16">
        <f>Parametry!$C$7</f>
        <v/>
      </c>
      <c r="H207" s="18" t="n"/>
      <c r="I207" s="19">
        <f>Parametry!$C$7</f>
        <v/>
      </c>
      <c r="J207" s="20">
        <f>G207+IF(ISNUMBER(H207),H207,0)</f>
        <v/>
      </c>
      <c r="K207" s="16">
        <f>MAX(0,J207-F207)</f>
        <v/>
      </c>
      <c r="L207" s="20">
        <f>MAX(0,D207-K207)</f>
        <v/>
      </c>
      <c r="M207" s="21">
        <f>IF(L207&lt;=0,0,MAX(0,ROUNDUP(-LN(1-L207*(E207/12)/Parametry!$C$7)/LN(1+E207/12),0)))</f>
        <v/>
      </c>
    </row>
    <row r="208" ht="18" customHeight="1">
      <c r="A208" s="22" t="n">
        <v>206</v>
      </c>
      <c r="B208" s="23">
        <f>DATE(Parametry!$C$12+INT((Parametry!$C$13+206-2)/12),MOD(Parametry!$C$13+206-2,12)+1,Parametry!$C$11)</f>
        <v/>
      </c>
      <c r="C208" s="24" t="n">
        <v>206</v>
      </c>
      <c r="D208" s="25">
        <f>L207</f>
        <v/>
      </c>
      <c r="E208" s="26">
        <f>IF(C208&lt;=Parametry!$C$9,Parametry!$C$8,Parametry!$C$10)</f>
        <v/>
      </c>
      <c r="F208" s="25">
        <f>D208*E208/12</f>
        <v/>
      </c>
      <c r="G208" s="25">
        <f>Parametry!$C$7</f>
        <v/>
      </c>
      <c r="H208" s="18" t="n"/>
      <c r="I208" s="19">
        <f>Parametry!$C$7</f>
        <v/>
      </c>
      <c r="J208" s="27">
        <f>G208+IF(ISNUMBER(H208),H208,0)</f>
        <v/>
      </c>
      <c r="K208" s="25">
        <f>MAX(0,J208-F208)</f>
        <v/>
      </c>
      <c r="L208" s="27">
        <f>MAX(0,D208-K208)</f>
        <v/>
      </c>
      <c r="M208" s="28">
        <f>IF(L208&lt;=0,0,MAX(0,ROUNDUP(-LN(1-L208*(E208/12)/Parametry!$C$7)/LN(1+E208/12),0)))</f>
        <v/>
      </c>
    </row>
    <row r="209" ht="18" customHeight="1">
      <c r="A209" s="13" t="n">
        <v>207</v>
      </c>
      <c r="B209" s="14">
        <f>DATE(Parametry!$C$12+INT((Parametry!$C$13+207-2)/12),MOD(Parametry!$C$13+207-2,12)+1,Parametry!$C$11)</f>
        <v/>
      </c>
      <c r="C209" s="15" t="n">
        <v>207</v>
      </c>
      <c r="D209" s="16">
        <f>L208</f>
        <v/>
      </c>
      <c r="E209" s="17">
        <f>IF(C209&lt;=Parametry!$C$9,Parametry!$C$8,Parametry!$C$10)</f>
        <v/>
      </c>
      <c r="F209" s="16">
        <f>D209*E209/12</f>
        <v/>
      </c>
      <c r="G209" s="16">
        <f>Parametry!$C$7</f>
        <v/>
      </c>
      <c r="H209" s="18" t="n"/>
      <c r="I209" s="19">
        <f>Parametry!$C$7</f>
        <v/>
      </c>
      <c r="J209" s="20">
        <f>G209+IF(ISNUMBER(H209),H209,0)</f>
        <v/>
      </c>
      <c r="K209" s="16">
        <f>MAX(0,J209-F209)</f>
        <v/>
      </c>
      <c r="L209" s="20">
        <f>MAX(0,D209-K209)</f>
        <v/>
      </c>
      <c r="M209" s="21">
        <f>IF(L209&lt;=0,0,MAX(0,ROUNDUP(-LN(1-L209*(E209/12)/Parametry!$C$7)/LN(1+E209/12),0)))</f>
        <v/>
      </c>
    </row>
    <row r="210" ht="18" customHeight="1">
      <c r="A210" s="22" t="n">
        <v>208</v>
      </c>
      <c r="B210" s="23">
        <f>DATE(Parametry!$C$12+INT((Parametry!$C$13+208-2)/12),MOD(Parametry!$C$13+208-2,12)+1,Parametry!$C$11)</f>
        <v/>
      </c>
      <c r="C210" s="24" t="n">
        <v>208</v>
      </c>
      <c r="D210" s="25">
        <f>L209</f>
        <v/>
      </c>
      <c r="E210" s="26">
        <f>IF(C210&lt;=Parametry!$C$9,Parametry!$C$8,Parametry!$C$10)</f>
        <v/>
      </c>
      <c r="F210" s="25">
        <f>D210*E210/12</f>
        <v/>
      </c>
      <c r="G210" s="25">
        <f>Parametry!$C$7</f>
        <v/>
      </c>
      <c r="H210" s="18" t="n"/>
      <c r="I210" s="19">
        <f>Parametry!$C$7</f>
        <v/>
      </c>
      <c r="J210" s="27">
        <f>G210+IF(ISNUMBER(H210),H210,0)</f>
        <v/>
      </c>
      <c r="K210" s="25">
        <f>MAX(0,J210-F210)</f>
        <v/>
      </c>
      <c r="L210" s="27">
        <f>MAX(0,D210-K210)</f>
        <v/>
      </c>
      <c r="M210" s="28">
        <f>IF(L210&lt;=0,0,MAX(0,ROUNDUP(-LN(1-L210*(E210/12)/Parametry!$C$7)/LN(1+E210/12),0)))</f>
        <v/>
      </c>
    </row>
    <row r="211" ht="18" customHeight="1">
      <c r="A211" s="13" t="n">
        <v>209</v>
      </c>
      <c r="B211" s="14">
        <f>DATE(Parametry!$C$12+INT((Parametry!$C$13+209-2)/12),MOD(Parametry!$C$13+209-2,12)+1,Parametry!$C$11)</f>
        <v/>
      </c>
      <c r="C211" s="15" t="n">
        <v>209</v>
      </c>
      <c r="D211" s="16">
        <f>L210</f>
        <v/>
      </c>
      <c r="E211" s="17">
        <f>IF(C211&lt;=Parametry!$C$9,Parametry!$C$8,Parametry!$C$10)</f>
        <v/>
      </c>
      <c r="F211" s="16">
        <f>D211*E211/12</f>
        <v/>
      </c>
      <c r="G211" s="16">
        <f>Parametry!$C$7</f>
        <v/>
      </c>
      <c r="H211" s="18" t="n"/>
      <c r="I211" s="19">
        <f>Parametry!$C$7</f>
        <v/>
      </c>
      <c r="J211" s="20">
        <f>G211+IF(ISNUMBER(H211),H211,0)</f>
        <v/>
      </c>
      <c r="K211" s="16">
        <f>MAX(0,J211-F211)</f>
        <v/>
      </c>
      <c r="L211" s="20">
        <f>MAX(0,D211-K211)</f>
        <v/>
      </c>
      <c r="M211" s="21">
        <f>IF(L211&lt;=0,0,MAX(0,ROUNDUP(-LN(1-L211*(E211/12)/Parametry!$C$7)/LN(1+E211/12),0)))</f>
        <v/>
      </c>
    </row>
    <row r="212" ht="18" customHeight="1">
      <c r="A212" s="22" t="n">
        <v>210</v>
      </c>
      <c r="B212" s="23">
        <f>DATE(Parametry!$C$12+INT((Parametry!$C$13+210-2)/12),MOD(Parametry!$C$13+210-2,12)+1,Parametry!$C$11)</f>
        <v/>
      </c>
      <c r="C212" s="24" t="n">
        <v>210</v>
      </c>
      <c r="D212" s="25">
        <f>L211</f>
        <v/>
      </c>
      <c r="E212" s="26">
        <f>IF(C212&lt;=Parametry!$C$9,Parametry!$C$8,Parametry!$C$10)</f>
        <v/>
      </c>
      <c r="F212" s="25">
        <f>D212*E212/12</f>
        <v/>
      </c>
      <c r="G212" s="25">
        <f>Parametry!$C$7</f>
        <v/>
      </c>
      <c r="H212" s="18" t="n"/>
      <c r="I212" s="19">
        <f>Parametry!$C$7</f>
        <v/>
      </c>
      <c r="J212" s="27">
        <f>G212+IF(ISNUMBER(H212),H212,0)</f>
        <v/>
      </c>
      <c r="K212" s="25">
        <f>MAX(0,J212-F212)</f>
        <v/>
      </c>
      <c r="L212" s="27">
        <f>MAX(0,D212-K212)</f>
        <v/>
      </c>
      <c r="M212" s="28">
        <f>IF(L212&lt;=0,0,MAX(0,ROUNDUP(-LN(1-L212*(E212/12)/Parametry!$C$7)/LN(1+E212/12),0)))</f>
        <v/>
      </c>
    </row>
    <row r="213" ht="18" customHeight="1">
      <c r="A213" s="13" t="n">
        <v>211</v>
      </c>
      <c r="B213" s="14">
        <f>DATE(Parametry!$C$12+INT((Parametry!$C$13+211-2)/12),MOD(Parametry!$C$13+211-2,12)+1,Parametry!$C$11)</f>
        <v/>
      </c>
      <c r="C213" s="15" t="n">
        <v>211</v>
      </c>
      <c r="D213" s="16">
        <f>L212</f>
        <v/>
      </c>
      <c r="E213" s="17">
        <f>IF(C213&lt;=Parametry!$C$9,Parametry!$C$8,Parametry!$C$10)</f>
        <v/>
      </c>
      <c r="F213" s="16">
        <f>D213*E213/12</f>
        <v/>
      </c>
      <c r="G213" s="16">
        <f>Parametry!$C$7</f>
        <v/>
      </c>
      <c r="H213" s="18" t="n"/>
      <c r="I213" s="19">
        <f>Parametry!$C$7</f>
        <v/>
      </c>
      <c r="J213" s="20">
        <f>G213+IF(ISNUMBER(H213),H213,0)</f>
        <v/>
      </c>
      <c r="K213" s="16">
        <f>MAX(0,J213-F213)</f>
        <v/>
      </c>
      <c r="L213" s="20">
        <f>MAX(0,D213-K213)</f>
        <v/>
      </c>
      <c r="M213" s="21">
        <f>IF(L213&lt;=0,0,MAX(0,ROUNDUP(-LN(1-L213*(E213/12)/Parametry!$C$7)/LN(1+E213/12),0)))</f>
        <v/>
      </c>
    </row>
    <row r="214" ht="18" customHeight="1">
      <c r="A214" s="22" t="n">
        <v>212</v>
      </c>
      <c r="B214" s="23">
        <f>DATE(Parametry!$C$12+INT((Parametry!$C$13+212-2)/12),MOD(Parametry!$C$13+212-2,12)+1,Parametry!$C$11)</f>
        <v/>
      </c>
      <c r="C214" s="24" t="n">
        <v>212</v>
      </c>
      <c r="D214" s="25">
        <f>L213</f>
        <v/>
      </c>
      <c r="E214" s="26">
        <f>IF(C214&lt;=Parametry!$C$9,Parametry!$C$8,Parametry!$C$10)</f>
        <v/>
      </c>
      <c r="F214" s="25">
        <f>D214*E214/12</f>
        <v/>
      </c>
      <c r="G214" s="25">
        <f>Parametry!$C$7</f>
        <v/>
      </c>
      <c r="H214" s="18" t="n"/>
      <c r="I214" s="19">
        <f>Parametry!$C$7</f>
        <v/>
      </c>
      <c r="J214" s="27">
        <f>G214+IF(ISNUMBER(H214),H214,0)</f>
        <v/>
      </c>
      <c r="K214" s="25">
        <f>MAX(0,J214-F214)</f>
        <v/>
      </c>
      <c r="L214" s="27">
        <f>MAX(0,D214-K214)</f>
        <v/>
      </c>
      <c r="M214" s="28">
        <f>IF(L214&lt;=0,0,MAX(0,ROUNDUP(-LN(1-L214*(E214/12)/Parametry!$C$7)/LN(1+E214/12),0)))</f>
        <v/>
      </c>
    </row>
    <row r="215" ht="18" customHeight="1">
      <c r="A215" s="13" t="n">
        <v>213</v>
      </c>
      <c r="B215" s="14">
        <f>DATE(Parametry!$C$12+INT((Parametry!$C$13+213-2)/12),MOD(Parametry!$C$13+213-2,12)+1,Parametry!$C$11)</f>
        <v/>
      </c>
      <c r="C215" s="15" t="n">
        <v>213</v>
      </c>
      <c r="D215" s="16">
        <f>L214</f>
        <v/>
      </c>
      <c r="E215" s="17">
        <f>IF(C215&lt;=Parametry!$C$9,Parametry!$C$8,Parametry!$C$10)</f>
        <v/>
      </c>
      <c r="F215" s="16">
        <f>D215*E215/12</f>
        <v/>
      </c>
      <c r="G215" s="16">
        <f>Parametry!$C$7</f>
        <v/>
      </c>
      <c r="H215" s="18" t="n"/>
      <c r="I215" s="19">
        <f>Parametry!$C$7</f>
        <v/>
      </c>
      <c r="J215" s="20">
        <f>G215+IF(ISNUMBER(H215),H215,0)</f>
        <v/>
      </c>
      <c r="K215" s="16">
        <f>MAX(0,J215-F215)</f>
        <v/>
      </c>
      <c r="L215" s="20">
        <f>MAX(0,D215-K215)</f>
        <v/>
      </c>
      <c r="M215" s="21">
        <f>IF(L215&lt;=0,0,MAX(0,ROUNDUP(-LN(1-L215*(E215/12)/Parametry!$C$7)/LN(1+E215/12),0)))</f>
        <v/>
      </c>
    </row>
    <row r="216" ht="18" customHeight="1">
      <c r="A216" s="22" t="n">
        <v>214</v>
      </c>
      <c r="B216" s="23">
        <f>DATE(Parametry!$C$12+INT((Parametry!$C$13+214-2)/12),MOD(Parametry!$C$13+214-2,12)+1,Parametry!$C$11)</f>
        <v/>
      </c>
      <c r="C216" s="24" t="n">
        <v>214</v>
      </c>
      <c r="D216" s="25">
        <f>L215</f>
        <v/>
      </c>
      <c r="E216" s="26">
        <f>IF(C216&lt;=Parametry!$C$9,Parametry!$C$8,Parametry!$C$10)</f>
        <v/>
      </c>
      <c r="F216" s="25">
        <f>D216*E216/12</f>
        <v/>
      </c>
      <c r="G216" s="25">
        <f>Parametry!$C$7</f>
        <v/>
      </c>
      <c r="H216" s="18" t="n"/>
      <c r="I216" s="19">
        <f>Parametry!$C$7</f>
        <v/>
      </c>
      <c r="J216" s="27">
        <f>G216+IF(ISNUMBER(H216),H216,0)</f>
        <v/>
      </c>
      <c r="K216" s="25">
        <f>MAX(0,J216-F216)</f>
        <v/>
      </c>
      <c r="L216" s="27">
        <f>MAX(0,D216-K216)</f>
        <v/>
      </c>
      <c r="M216" s="28">
        <f>IF(L216&lt;=0,0,MAX(0,ROUNDUP(-LN(1-L216*(E216/12)/Parametry!$C$7)/LN(1+E216/12),0)))</f>
        <v/>
      </c>
    </row>
    <row r="217" ht="18" customHeight="1">
      <c r="A217" s="13" t="n">
        <v>215</v>
      </c>
      <c r="B217" s="14">
        <f>DATE(Parametry!$C$12+INT((Parametry!$C$13+215-2)/12),MOD(Parametry!$C$13+215-2,12)+1,Parametry!$C$11)</f>
        <v/>
      </c>
      <c r="C217" s="15" t="n">
        <v>215</v>
      </c>
      <c r="D217" s="16">
        <f>L216</f>
        <v/>
      </c>
      <c r="E217" s="17">
        <f>IF(C217&lt;=Parametry!$C$9,Parametry!$C$8,Parametry!$C$10)</f>
        <v/>
      </c>
      <c r="F217" s="16">
        <f>D217*E217/12</f>
        <v/>
      </c>
      <c r="G217" s="16">
        <f>Parametry!$C$7</f>
        <v/>
      </c>
      <c r="H217" s="18" t="n"/>
      <c r="I217" s="19">
        <f>Parametry!$C$7</f>
        <v/>
      </c>
      <c r="J217" s="20">
        <f>G217+IF(ISNUMBER(H217),H217,0)</f>
        <v/>
      </c>
      <c r="K217" s="16">
        <f>MAX(0,J217-F217)</f>
        <v/>
      </c>
      <c r="L217" s="20">
        <f>MAX(0,D217-K217)</f>
        <v/>
      </c>
      <c r="M217" s="21">
        <f>IF(L217&lt;=0,0,MAX(0,ROUNDUP(-LN(1-L217*(E217/12)/Parametry!$C$7)/LN(1+E217/12),0)))</f>
        <v/>
      </c>
    </row>
    <row r="218" ht="18" customHeight="1">
      <c r="A218" s="22" t="n">
        <v>216</v>
      </c>
      <c r="B218" s="23">
        <f>DATE(Parametry!$C$12+INT((Parametry!$C$13+216-2)/12),MOD(Parametry!$C$13+216-2,12)+1,Parametry!$C$11)</f>
        <v/>
      </c>
      <c r="C218" s="24" t="n">
        <v>216</v>
      </c>
      <c r="D218" s="25">
        <f>L217</f>
        <v/>
      </c>
      <c r="E218" s="26">
        <f>IF(C218&lt;=Parametry!$C$9,Parametry!$C$8,Parametry!$C$10)</f>
        <v/>
      </c>
      <c r="F218" s="25">
        <f>D218*E218/12</f>
        <v/>
      </c>
      <c r="G218" s="25">
        <f>Parametry!$C$7</f>
        <v/>
      </c>
      <c r="H218" s="18" t="n"/>
      <c r="I218" s="19">
        <f>Parametry!$C$7</f>
        <v/>
      </c>
      <c r="J218" s="27">
        <f>G218+IF(ISNUMBER(H218),H218,0)</f>
        <v/>
      </c>
      <c r="K218" s="25">
        <f>MAX(0,J218-F218)</f>
        <v/>
      </c>
      <c r="L218" s="27">
        <f>MAX(0,D218-K218)</f>
        <v/>
      </c>
      <c r="M218" s="28">
        <f>IF(L218&lt;=0,0,MAX(0,ROUNDUP(-LN(1-L218*(E218/12)/Parametry!$C$7)/LN(1+E218/12),0)))</f>
        <v/>
      </c>
    </row>
    <row r="219" ht="18" customHeight="1">
      <c r="A219" s="13" t="n">
        <v>217</v>
      </c>
      <c r="B219" s="14">
        <f>DATE(Parametry!$C$12+INT((Parametry!$C$13+217-2)/12),MOD(Parametry!$C$13+217-2,12)+1,Parametry!$C$11)</f>
        <v/>
      </c>
      <c r="C219" s="15" t="n">
        <v>217</v>
      </c>
      <c r="D219" s="16">
        <f>L218</f>
        <v/>
      </c>
      <c r="E219" s="17">
        <f>IF(C219&lt;=Parametry!$C$9,Parametry!$C$8,Parametry!$C$10)</f>
        <v/>
      </c>
      <c r="F219" s="16">
        <f>D219*E219/12</f>
        <v/>
      </c>
      <c r="G219" s="16">
        <f>Parametry!$C$7</f>
        <v/>
      </c>
      <c r="H219" s="18" t="n"/>
      <c r="I219" s="19">
        <f>Parametry!$C$7</f>
        <v/>
      </c>
      <c r="J219" s="20">
        <f>G219+IF(ISNUMBER(H219),H219,0)</f>
        <v/>
      </c>
      <c r="K219" s="16">
        <f>MAX(0,J219-F219)</f>
        <v/>
      </c>
      <c r="L219" s="20">
        <f>MAX(0,D219-K219)</f>
        <v/>
      </c>
      <c r="M219" s="21">
        <f>IF(L219&lt;=0,0,MAX(0,ROUNDUP(-LN(1-L219*(E219/12)/Parametry!$C$7)/LN(1+E219/12),0)))</f>
        <v/>
      </c>
    </row>
    <row r="220" ht="18" customHeight="1">
      <c r="A220" s="22" t="n">
        <v>218</v>
      </c>
      <c r="B220" s="23">
        <f>DATE(Parametry!$C$12+INT((Parametry!$C$13+218-2)/12),MOD(Parametry!$C$13+218-2,12)+1,Parametry!$C$11)</f>
        <v/>
      </c>
      <c r="C220" s="24" t="n">
        <v>218</v>
      </c>
      <c r="D220" s="25">
        <f>L219</f>
        <v/>
      </c>
      <c r="E220" s="26">
        <f>IF(C220&lt;=Parametry!$C$9,Parametry!$C$8,Parametry!$C$10)</f>
        <v/>
      </c>
      <c r="F220" s="25">
        <f>D220*E220/12</f>
        <v/>
      </c>
      <c r="G220" s="25">
        <f>Parametry!$C$7</f>
        <v/>
      </c>
      <c r="H220" s="18" t="n"/>
      <c r="I220" s="19">
        <f>Parametry!$C$7</f>
        <v/>
      </c>
      <c r="J220" s="27">
        <f>G220+IF(ISNUMBER(H220),H220,0)</f>
        <v/>
      </c>
      <c r="K220" s="25">
        <f>MAX(0,J220-F220)</f>
        <v/>
      </c>
      <c r="L220" s="27">
        <f>MAX(0,D220-K220)</f>
        <v/>
      </c>
      <c r="M220" s="28">
        <f>IF(L220&lt;=0,0,MAX(0,ROUNDUP(-LN(1-L220*(E220/12)/Parametry!$C$7)/LN(1+E220/12),0)))</f>
        <v/>
      </c>
    </row>
    <row r="221" ht="18" customHeight="1">
      <c r="A221" s="13" t="n">
        <v>219</v>
      </c>
      <c r="B221" s="14">
        <f>DATE(Parametry!$C$12+INT((Parametry!$C$13+219-2)/12),MOD(Parametry!$C$13+219-2,12)+1,Parametry!$C$11)</f>
        <v/>
      </c>
      <c r="C221" s="15" t="n">
        <v>219</v>
      </c>
      <c r="D221" s="16">
        <f>L220</f>
        <v/>
      </c>
      <c r="E221" s="17">
        <f>IF(C221&lt;=Parametry!$C$9,Parametry!$C$8,Parametry!$C$10)</f>
        <v/>
      </c>
      <c r="F221" s="16">
        <f>D221*E221/12</f>
        <v/>
      </c>
      <c r="G221" s="16">
        <f>Parametry!$C$7</f>
        <v/>
      </c>
      <c r="H221" s="18" t="n"/>
      <c r="I221" s="19">
        <f>Parametry!$C$7</f>
        <v/>
      </c>
      <c r="J221" s="20">
        <f>G221+IF(ISNUMBER(H221),H221,0)</f>
        <v/>
      </c>
      <c r="K221" s="16">
        <f>MAX(0,J221-F221)</f>
        <v/>
      </c>
      <c r="L221" s="20">
        <f>MAX(0,D221-K221)</f>
        <v/>
      </c>
      <c r="M221" s="21">
        <f>IF(L221&lt;=0,0,MAX(0,ROUNDUP(-LN(1-L221*(E221/12)/Parametry!$C$7)/LN(1+E221/12),0)))</f>
        <v/>
      </c>
    </row>
    <row r="222" ht="18" customHeight="1">
      <c r="A222" s="22" t="n">
        <v>220</v>
      </c>
      <c r="B222" s="23">
        <f>DATE(Parametry!$C$12+INT((Parametry!$C$13+220-2)/12),MOD(Parametry!$C$13+220-2,12)+1,Parametry!$C$11)</f>
        <v/>
      </c>
      <c r="C222" s="24" t="n">
        <v>220</v>
      </c>
      <c r="D222" s="25">
        <f>L221</f>
        <v/>
      </c>
      <c r="E222" s="26">
        <f>IF(C222&lt;=Parametry!$C$9,Parametry!$C$8,Parametry!$C$10)</f>
        <v/>
      </c>
      <c r="F222" s="25">
        <f>D222*E222/12</f>
        <v/>
      </c>
      <c r="G222" s="25">
        <f>Parametry!$C$7</f>
        <v/>
      </c>
      <c r="H222" s="18" t="n"/>
      <c r="I222" s="19">
        <f>Parametry!$C$7</f>
        <v/>
      </c>
      <c r="J222" s="27">
        <f>G222+IF(ISNUMBER(H222),H222,0)</f>
        <v/>
      </c>
      <c r="K222" s="25">
        <f>MAX(0,J222-F222)</f>
        <v/>
      </c>
      <c r="L222" s="27">
        <f>MAX(0,D222-K222)</f>
        <v/>
      </c>
      <c r="M222" s="28">
        <f>IF(L222&lt;=0,0,MAX(0,ROUNDUP(-LN(1-L222*(E222/12)/Parametry!$C$7)/LN(1+E222/12),0)))</f>
        <v/>
      </c>
    </row>
    <row r="223" ht="18" customHeight="1">
      <c r="A223" s="13" t="n">
        <v>221</v>
      </c>
      <c r="B223" s="14">
        <f>DATE(Parametry!$C$12+INT((Parametry!$C$13+221-2)/12),MOD(Parametry!$C$13+221-2,12)+1,Parametry!$C$11)</f>
        <v/>
      </c>
      <c r="C223" s="15" t="n">
        <v>221</v>
      </c>
      <c r="D223" s="16">
        <f>L222</f>
        <v/>
      </c>
      <c r="E223" s="17">
        <f>IF(C223&lt;=Parametry!$C$9,Parametry!$C$8,Parametry!$C$10)</f>
        <v/>
      </c>
      <c r="F223" s="16">
        <f>D223*E223/12</f>
        <v/>
      </c>
      <c r="G223" s="16">
        <f>Parametry!$C$7</f>
        <v/>
      </c>
      <c r="H223" s="18" t="n"/>
      <c r="I223" s="19">
        <f>Parametry!$C$7</f>
        <v/>
      </c>
      <c r="J223" s="20">
        <f>G223+IF(ISNUMBER(H223),H223,0)</f>
        <v/>
      </c>
      <c r="K223" s="16">
        <f>MAX(0,J223-F223)</f>
        <v/>
      </c>
      <c r="L223" s="20">
        <f>MAX(0,D223-K223)</f>
        <v/>
      </c>
      <c r="M223" s="21">
        <f>IF(L223&lt;=0,0,MAX(0,ROUNDUP(-LN(1-L223*(E223/12)/Parametry!$C$7)/LN(1+E223/12),0)))</f>
        <v/>
      </c>
    </row>
    <row r="224" ht="18" customHeight="1">
      <c r="A224" s="22" t="n">
        <v>222</v>
      </c>
      <c r="B224" s="23">
        <f>DATE(Parametry!$C$12+INT((Parametry!$C$13+222-2)/12),MOD(Parametry!$C$13+222-2,12)+1,Parametry!$C$11)</f>
        <v/>
      </c>
      <c r="C224" s="24" t="n">
        <v>222</v>
      </c>
      <c r="D224" s="25">
        <f>L223</f>
        <v/>
      </c>
      <c r="E224" s="26">
        <f>IF(C224&lt;=Parametry!$C$9,Parametry!$C$8,Parametry!$C$10)</f>
        <v/>
      </c>
      <c r="F224" s="25">
        <f>D224*E224/12</f>
        <v/>
      </c>
      <c r="G224" s="25">
        <f>Parametry!$C$7</f>
        <v/>
      </c>
      <c r="H224" s="18" t="n"/>
      <c r="I224" s="19">
        <f>Parametry!$C$7</f>
        <v/>
      </c>
      <c r="J224" s="27">
        <f>G224+IF(ISNUMBER(H224),H224,0)</f>
        <v/>
      </c>
      <c r="K224" s="25">
        <f>MAX(0,J224-F224)</f>
        <v/>
      </c>
      <c r="L224" s="27">
        <f>MAX(0,D224-K224)</f>
        <v/>
      </c>
      <c r="M224" s="28">
        <f>IF(L224&lt;=0,0,MAX(0,ROUNDUP(-LN(1-L224*(E224/12)/Parametry!$C$7)/LN(1+E224/12),0)))</f>
        <v/>
      </c>
    </row>
    <row r="225" ht="18" customHeight="1">
      <c r="A225" s="13" t="n">
        <v>223</v>
      </c>
      <c r="B225" s="14">
        <f>DATE(Parametry!$C$12+INT((Parametry!$C$13+223-2)/12),MOD(Parametry!$C$13+223-2,12)+1,Parametry!$C$11)</f>
        <v/>
      </c>
      <c r="C225" s="15" t="n">
        <v>223</v>
      </c>
      <c r="D225" s="16">
        <f>L224</f>
        <v/>
      </c>
      <c r="E225" s="17">
        <f>IF(C225&lt;=Parametry!$C$9,Parametry!$C$8,Parametry!$C$10)</f>
        <v/>
      </c>
      <c r="F225" s="16">
        <f>D225*E225/12</f>
        <v/>
      </c>
      <c r="G225" s="16">
        <f>Parametry!$C$7</f>
        <v/>
      </c>
      <c r="H225" s="18" t="n"/>
      <c r="I225" s="19">
        <f>Parametry!$C$7</f>
        <v/>
      </c>
      <c r="J225" s="20">
        <f>G225+IF(ISNUMBER(H225),H225,0)</f>
        <v/>
      </c>
      <c r="K225" s="16">
        <f>MAX(0,J225-F225)</f>
        <v/>
      </c>
      <c r="L225" s="20">
        <f>MAX(0,D225-K225)</f>
        <v/>
      </c>
      <c r="M225" s="21">
        <f>IF(L225&lt;=0,0,MAX(0,ROUNDUP(-LN(1-L225*(E225/12)/Parametry!$C$7)/LN(1+E225/12),0)))</f>
        <v/>
      </c>
    </row>
    <row r="226" ht="18" customHeight="1">
      <c r="A226" s="22" t="n">
        <v>224</v>
      </c>
      <c r="B226" s="23">
        <f>DATE(Parametry!$C$12+INT((Parametry!$C$13+224-2)/12),MOD(Parametry!$C$13+224-2,12)+1,Parametry!$C$11)</f>
        <v/>
      </c>
      <c r="C226" s="24" t="n">
        <v>224</v>
      </c>
      <c r="D226" s="25">
        <f>L225</f>
        <v/>
      </c>
      <c r="E226" s="26">
        <f>IF(C226&lt;=Parametry!$C$9,Parametry!$C$8,Parametry!$C$10)</f>
        <v/>
      </c>
      <c r="F226" s="25">
        <f>D226*E226/12</f>
        <v/>
      </c>
      <c r="G226" s="25">
        <f>Parametry!$C$7</f>
        <v/>
      </c>
      <c r="H226" s="18" t="n"/>
      <c r="I226" s="19">
        <f>Parametry!$C$7</f>
        <v/>
      </c>
      <c r="J226" s="27">
        <f>G226+IF(ISNUMBER(H226),H226,0)</f>
        <v/>
      </c>
      <c r="K226" s="25">
        <f>MAX(0,J226-F226)</f>
        <v/>
      </c>
      <c r="L226" s="27">
        <f>MAX(0,D226-K226)</f>
        <v/>
      </c>
      <c r="M226" s="28">
        <f>IF(L226&lt;=0,0,MAX(0,ROUNDUP(-LN(1-L226*(E226/12)/Parametry!$C$7)/LN(1+E226/12),0)))</f>
        <v/>
      </c>
    </row>
    <row r="227" ht="18" customHeight="1">
      <c r="A227" s="13" t="n">
        <v>225</v>
      </c>
      <c r="B227" s="14">
        <f>DATE(Parametry!$C$12+INT((Parametry!$C$13+225-2)/12),MOD(Parametry!$C$13+225-2,12)+1,Parametry!$C$11)</f>
        <v/>
      </c>
      <c r="C227" s="15" t="n">
        <v>225</v>
      </c>
      <c r="D227" s="16">
        <f>L226</f>
        <v/>
      </c>
      <c r="E227" s="17">
        <f>IF(C227&lt;=Parametry!$C$9,Parametry!$C$8,Parametry!$C$10)</f>
        <v/>
      </c>
      <c r="F227" s="16">
        <f>D227*E227/12</f>
        <v/>
      </c>
      <c r="G227" s="16">
        <f>Parametry!$C$7</f>
        <v/>
      </c>
      <c r="H227" s="18" t="n"/>
      <c r="I227" s="19">
        <f>Parametry!$C$7</f>
        <v/>
      </c>
      <c r="J227" s="20">
        <f>G227+IF(ISNUMBER(H227),H227,0)</f>
        <v/>
      </c>
      <c r="K227" s="16">
        <f>MAX(0,J227-F227)</f>
        <v/>
      </c>
      <c r="L227" s="20">
        <f>MAX(0,D227-K227)</f>
        <v/>
      </c>
      <c r="M227" s="21">
        <f>IF(L227&lt;=0,0,MAX(0,ROUNDUP(-LN(1-L227*(E227/12)/Parametry!$C$7)/LN(1+E227/12),0)))</f>
        <v/>
      </c>
    </row>
    <row r="228" ht="18" customHeight="1">
      <c r="A228" s="22" t="n">
        <v>226</v>
      </c>
      <c r="B228" s="23">
        <f>DATE(Parametry!$C$12+INT((Parametry!$C$13+226-2)/12),MOD(Parametry!$C$13+226-2,12)+1,Parametry!$C$11)</f>
        <v/>
      </c>
      <c r="C228" s="24" t="n">
        <v>226</v>
      </c>
      <c r="D228" s="25">
        <f>L227</f>
        <v/>
      </c>
      <c r="E228" s="26">
        <f>IF(C228&lt;=Parametry!$C$9,Parametry!$C$8,Parametry!$C$10)</f>
        <v/>
      </c>
      <c r="F228" s="25">
        <f>D228*E228/12</f>
        <v/>
      </c>
      <c r="G228" s="25">
        <f>Parametry!$C$7</f>
        <v/>
      </c>
      <c r="H228" s="18" t="n"/>
      <c r="I228" s="19">
        <f>Parametry!$C$7</f>
        <v/>
      </c>
      <c r="J228" s="27">
        <f>G228+IF(ISNUMBER(H228),H228,0)</f>
        <v/>
      </c>
      <c r="K228" s="25">
        <f>MAX(0,J228-F228)</f>
        <v/>
      </c>
      <c r="L228" s="27">
        <f>MAX(0,D228-K228)</f>
        <v/>
      </c>
      <c r="M228" s="28">
        <f>IF(L228&lt;=0,0,MAX(0,ROUNDUP(-LN(1-L228*(E228/12)/Parametry!$C$7)/LN(1+E228/12),0)))</f>
        <v/>
      </c>
    </row>
    <row r="229" ht="18" customHeight="1">
      <c r="A229" s="13" t="n">
        <v>227</v>
      </c>
      <c r="B229" s="14">
        <f>DATE(Parametry!$C$12+INT((Parametry!$C$13+227-2)/12),MOD(Parametry!$C$13+227-2,12)+1,Parametry!$C$11)</f>
        <v/>
      </c>
      <c r="C229" s="15" t="n">
        <v>227</v>
      </c>
      <c r="D229" s="16">
        <f>L228</f>
        <v/>
      </c>
      <c r="E229" s="17">
        <f>IF(C229&lt;=Parametry!$C$9,Parametry!$C$8,Parametry!$C$10)</f>
        <v/>
      </c>
      <c r="F229" s="16">
        <f>D229*E229/12</f>
        <v/>
      </c>
      <c r="G229" s="16">
        <f>Parametry!$C$7</f>
        <v/>
      </c>
      <c r="H229" s="18" t="n"/>
      <c r="I229" s="19">
        <f>Parametry!$C$7</f>
        <v/>
      </c>
      <c r="J229" s="20">
        <f>G229+IF(ISNUMBER(H229),H229,0)</f>
        <v/>
      </c>
      <c r="K229" s="16">
        <f>MAX(0,J229-F229)</f>
        <v/>
      </c>
      <c r="L229" s="20">
        <f>MAX(0,D229-K229)</f>
        <v/>
      </c>
      <c r="M229" s="21">
        <f>IF(L229&lt;=0,0,MAX(0,ROUNDUP(-LN(1-L229*(E229/12)/Parametry!$C$7)/LN(1+E229/12),0)))</f>
        <v/>
      </c>
    </row>
    <row r="230" ht="18" customHeight="1">
      <c r="A230" s="22" t="n">
        <v>228</v>
      </c>
      <c r="B230" s="23">
        <f>DATE(Parametry!$C$12+INT((Parametry!$C$13+228-2)/12),MOD(Parametry!$C$13+228-2,12)+1,Parametry!$C$11)</f>
        <v/>
      </c>
      <c r="C230" s="24" t="n">
        <v>228</v>
      </c>
      <c r="D230" s="25">
        <f>L229</f>
        <v/>
      </c>
      <c r="E230" s="26">
        <f>IF(C230&lt;=Parametry!$C$9,Parametry!$C$8,Parametry!$C$10)</f>
        <v/>
      </c>
      <c r="F230" s="25">
        <f>D230*E230/12</f>
        <v/>
      </c>
      <c r="G230" s="25">
        <f>Parametry!$C$7</f>
        <v/>
      </c>
      <c r="H230" s="18" t="n"/>
      <c r="I230" s="19">
        <f>Parametry!$C$7</f>
        <v/>
      </c>
      <c r="J230" s="27">
        <f>G230+IF(ISNUMBER(H230),H230,0)</f>
        <v/>
      </c>
      <c r="K230" s="25">
        <f>MAX(0,J230-F230)</f>
        <v/>
      </c>
      <c r="L230" s="27">
        <f>MAX(0,D230-K230)</f>
        <v/>
      </c>
      <c r="M230" s="28">
        <f>IF(L230&lt;=0,0,MAX(0,ROUNDUP(-LN(1-L230*(E230/12)/Parametry!$C$7)/LN(1+E230/12),0)))</f>
        <v/>
      </c>
    </row>
    <row r="231" ht="18" customHeight="1">
      <c r="A231" s="13" t="n">
        <v>229</v>
      </c>
      <c r="B231" s="14">
        <f>DATE(Parametry!$C$12+INT((Parametry!$C$13+229-2)/12),MOD(Parametry!$C$13+229-2,12)+1,Parametry!$C$11)</f>
        <v/>
      </c>
      <c r="C231" s="15" t="n">
        <v>229</v>
      </c>
      <c r="D231" s="16">
        <f>L230</f>
        <v/>
      </c>
      <c r="E231" s="17">
        <f>IF(C231&lt;=Parametry!$C$9,Parametry!$C$8,Parametry!$C$10)</f>
        <v/>
      </c>
      <c r="F231" s="16">
        <f>D231*E231/12</f>
        <v/>
      </c>
      <c r="G231" s="16">
        <f>Parametry!$C$7</f>
        <v/>
      </c>
      <c r="H231" s="18" t="n"/>
      <c r="I231" s="19">
        <f>Parametry!$C$7</f>
        <v/>
      </c>
      <c r="J231" s="20">
        <f>G231+IF(ISNUMBER(H231),H231,0)</f>
        <v/>
      </c>
      <c r="K231" s="16">
        <f>MAX(0,J231-F231)</f>
        <v/>
      </c>
      <c r="L231" s="20">
        <f>MAX(0,D231-K231)</f>
        <v/>
      </c>
      <c r="M231" s="21">
        <f>IF(L231&lt;=0,0,MAX(0,ROUNDUP(-LN(1-L231*(E231/12)/Parametry!$C$7)/LN(1+E231/12),0)))</f>
        <v/>
      </c>
    </row>
    <row r="232" ht="18" customHeight="1">
      <c r="A232" s="22" t="n">
        <v>230</v>
      </c>
      <c r="B232" s="23">
        <f>DATE(Parametry!$C$12+INT((Parametry!$C$13+230-2)/12),MOD(Parametry!$C$13+230-2,12)+1,Parametry!$C$11)</f>
        <v/>
      </c>
      <c r="C232" s="24" t="n">
        <v>230</v>
      </c>
      <c r="D232" s="25">
        <f>L231</f>
        <v/>
      </c>
      <c r="E232" s="26">
        <f>IF(C232&lt;=Parametry!$C$9,Parametry!$C$8,Parametry!$C$10)</f>
        <v/>
      </c>
      <c r="F232" s="25">
        <f>D232*E232/12</f>
        <v/>
      </c>
      <c r="G232" s="25">
        <f>Parametry!$C$7</f>
        <v/>
      </c>
      <c r="H232" s="18" t="n"/>
      <c r="I232" s="19">
        <f>Parametry!$C$7</f>
        <v/>
      </c>
      <c r="J232" s="27">
        <f>G232+IF(ISNUMBER(H232),H232,0)</f>
        <v/>
      </c>
      <c r="K232" s="25">
        <f>MAX(0,J232-F232)</f>
        <v/>
      </c>
      <c r="L232" s="27">
        <f>MAX(0,D232-K232)</f>
        <v/>
      </c>
      <c r="M232" s="28">
        <f>IF(L232&lt;=0,0,MAX(0,ROUNDUP(-LN(1-L232*(E232/12)/Parametry!$C$7)/LN(1+E232/12),0)))</f>
        <v/>
      </c>
    </row>
    <row r="233" ht="18" customHeight="1">
      <c r="A233" s="13" t="n">
        <v>231</v>
      </c>
      <c r="B233" s="14">
        <f>DATE(Parametry!$C$12+INT((Parametry!$C$13+231-2)/12),MOD(Parametry!$C$13+231-2,12)+1,Parametry!$C$11)</f>
        <v/>
      </c>
      <c r="C233" s="15" t="n">
        <v>231</v>
      </c>
      <c r="D233" s="16">
        <f>L232</f>
        <v/>
      </c>
      <c r="E233" s="17">
        <f>IF(C233&lt;=Parametry!$C$9,Parametry!$C$8,Parametry!$C$10)</f>
        <v/>
      </c>
      <c r="F233" s="16">
        <f>D233*E233/12</f>
        <v/>
      </c>
      <c r="G233" s="16">
        <f>Parametry!$C$7</f>
        <v/>
      </c>
      <c r="H233" s="18" t="n"/>
      <c r="I233" s="19">
        <f>Parametry!$C$7</f>
        <v/>
      </c>
      <c r="J233" s="20">
        <f>G233+IF(ISNUMBER(H233),H233,0)</f>
        <v/>
      </c>
      <c r="K233" s="16">
        <f>MAX(0,J233-F233)</f>
        <v/>
      </c>
      <c r="L233" s="20">
        <f>MAX(0,D233-K233)</f>
        <v/>
      </c>
      <c r="M233" s="21">
        <f>IF(L233&lt;=0,0,MAX(0,ROUNDUP(-LN(1-L233*(E233/12)/Parametry!$C$7)/LN(1+E233/12),0)))</f>
        <v/>
      </c>
    </row>
    <row r="234" ht="18" customHeight="1">
      <c r="A234" s="22" t="n">
        <v>232</v>
      </c>
      <c r="B234" s="23">
        <f>DATE(Parametry!$C$12+INT((Parametry!$C$13+232-2)/12),MOD(Parametry!$C$13+232-2,12)+1,Parametry!$C$11)</f>
        <v/>
      </c>
      <c r="C234" s="24" t="n">
        <v>232</v>
      </c>
      <c r="D234" s="25">
        <f>L233</f>
        <v/>
      </c>
      <c r="E234" s="26">
        <f>IF(C234&lt;=Parametry!$C$9,Parametry!$C$8,Parametry!$C$10)</f>
        <v/>
      </c>
      <c r="F234" s="25">
        <f>D234*E234/12</f>
        <v/>
      </c>
      <c r="G234" s="25">
        <f>Parametry!$C$7</f>
        <v/>
      </c>
      <c r="H234" s="18" t="n"/>
      <c r="I234" s="19">
        <f>Parametry!$C$7</f>
        <v/>
      </c>
      <c r="J234" s="27">
        <f>G234+IF(ISNUMBER(H234),H234,0)</f>
        <v/>
      </c>
      <c r="K234" s="25">
        <f>MAX(0,J234-F234)</f>
        <v/>
      </c>
      <c r="L234" s="27">
        <f>MAX(0,D234-K234)</f>
        <v/>
      </c>
      <c r="M234" s="28">
        <f>IF(L234&lt;=0,0,MAX(0,ROUNDUP(-LN(1-L234*(E234/12)/Parametry!$C$7)/LN(1+E234/12),0)))</f>
        <v/>
      </c>
    </row>
    <row r="235" ht="18" customHeight="1">
      <c r="A235" s="13" t="n">
        <v>233</v>
      </c>
      <c r="B235" s="14">
        <f>DATE(Parametry!$C$12+INT((Parametry!$C$13+233-2)/12),MOD(Parametry!$C$13+233-2,12)+1,Parametry!$C$11)</f>
        <v/>
      </c>
      <c r="C235" s="15" t="n">
        <v>233</v>
      </c>
      <c r="D235" s="16">
        <f>L234</f>
        <v/>
      </c>
      <c r="E235" s="17">
        <f>IF(C235&lt;=Parametry!$C$9,Parametry!$C$8,Parametry!$C$10)</f>
        <v/>
      </c>
      <c r="F235" s="16">
        <f>D235*E235/12</f>
        <v/>
      </c>
      <c r="G235" s="16">
        <f>Parametry!$C$7</f>
        <v/>
      </c>
      <c r="H235" s="18" t="n"/>
      <c r="I235" s="19">
        <f>Parametry!$C$7</f>
        <v/>
      </c>
      <c r="J235" s="20">
        <f>G235+IF(ISNUMBER(H235),H235,0)</f>
        <v/>
      </c>
      <c r="K235" s="16">
        <f>MAX(0,J235-F235)</f>
        <v/>
      </c>
      <c r="L235" s="20">
        <f>MAX(0,D235-K235)</f>
        <v/>
      </c>
      <c r="M235" s="21">
        <f>IF(L235&lt;=0,0,MAX(0,ROUNDUP(-LN(1-L235*(E235/12)/Parametry!$C$7)/LN(1+E235/12),0)))</f>
        <v/>
      </c>
    </row>
    <row r="236" ht="18" customHeight="1">
      <c r="A236" s="22" t="n">
        <v>234</v>
      </c>
      <c r="B236" s="23">
        <f>DATE(Parametry!$C$12+INT((Parametry!$C$13+234-2)/12),MOD(Parametry!$C$13+234-2,12)+1,Parametry!$C$11)</f>
        <v/>
      </c>
      <c r="C236" s="24" t="n">
        <v>234</v>
      </c>
      <c r="D236" s="25">
        <f>L235</f>
        <v/>
      </c>
      <c r="E236" s="26">
        <f>IF(C236&lt;=Parametry!$C$9,Parametry!$C$8,Parametry!$C$10)</f>
        <v/>
      </c>
      <c r="F236" s="25">
        <f>D236*E236/12</f>
        <v/>
      </c>
      <c r="G236" s="25">
        <f>Parametry!$C$7</f>
        <v/>
      </c>
      <c r="H236" s="18" t="n"/>
      <c r="I236" s="19">
        <f>Parametry!$C$7</f>
        <v/>
      </c>
      <c r="J236" s="27">
        <f>G236+IF(ISNUMBER(H236),H236,0)</f>
        <v/>
      </c>
      <c r="K236" s="25">
        <f>MAX(0,J236-F236)</f>
        <v/>
      </c>
      <c r="L236" s="27">
        <f>MAX(0,D236-K236)</f>
        <v/>
      </c>
      <c r="M236" s="28">
        <f>IF(L236&lt;=0,0,MAX(0,ROUNDUP(-LN(1-L236*(E236/12)/Parametry!$C$7)/LN(1+E236/12),0)))</f>
        <v/>
      </c>
    </row>
    <row r="237" ht="18" customHeight="1">
      <c r="A237" s="13" t="n">
        <v>235</v>
      </c>
      <c r="B237" s="14">
        <f>DATE(Parametry!$C$12+INT((Parametry!$C$13+235-2)/12),MOD(Parametry!$C$13+235-2,12)+1,Parametry!$C$11)</f>
        <v/>
      </c>
      <c r="C237" s="15" t="n">
        <v>235</v>
      </c>
      <c r="D237" s="16">
        <f>L236</f>
        <v/>
      </c>
      <c r="E237" s="17">
        <f>IF(C237&lt;=Parametry!$C$9,Parametry!$C$8,Parametry!$C$10)</f>
        <v/>
      </c>
      <c r="F237" s="16">
        <f>D237*E237/12</f>
        <v/>
      </c>
      <c r="G237" s="16">
        <f>Parametry!$C$7</f>
        <v/>
      </c>
      <c r="H237" s="18" t="n"/>
      <c r="I237" s="19">
        <f>Parametry!$C$7</f>
        <v/>
      </c>
      <c r="J237" s="20">
        <f>G237+IF(ISNUMBER(H237),H237,0)</f>
        <v/>
      </c>
      <c r="K237" s="16">
        <f>MAX(0,J237-F237)</f>
        <v/>
      </c>
      <c r="L237" s="20">
        <f>MAX(0,D237-K237)</f>
        <v/>
      </c>
      <c r="M237" s="21">
        <f>IF(L237&lt;=0,0,MAX(0,ROUNDUP(-LN(1-L237*(E237/12)/Parametry!$C$7)/LN(1+E237/12),0)))</f>
        <v/>
      </c>
    </row>
    <row r="238" ht="18" customHeight="1">
      <c r="A238" s="22" t="n">
        <v>236</v>
      </c>
      <c r="B238" s="23">
        <f>DATE(Parametry!$C$12+INT((Parametry!$C$13+236-2)/12),MOD(Parametry!$C$13+236-2,12)+1,Parametry!$C$11)</f>
        <v/>
      </c>
      <c r="C238" s="24" t="n">
        <v>236</v>
      </c>
      <c r="D238" s="25">
        <f>L237</f>
        <v/>
      </c>
      <c r="E238" s="26">
        <f>IF(C238&lt;=Parametry!$C$9,Parametry!$C$8,Parametry!$C$10)</f>
        <v/>
      </c>
      <c r="F238" s="25">
        <f>D238*E238/12</f>
        <v/>
      </c>
      <c r="G238" s="25">
        <f>Parametry!$C$7</f>
        <v/>
      </c>
      <c r="H238" s="18" t="n"/>
      <c r="I238" s="19">
        <f>Parametry!$C$7</f>
        <v/>
      </c>
      <c r="J238" s="27">
        <f>G238+IF(ISNUMBER(H238),H238,0)</f>
        <v/>
      </c>
      <c r="K238" s="25">
        <f>MAX(0,J238-F238)</f>
        <v/>
      </c>
      <c r="L238" s="27">
        <f>MAX(0,D238-K238)</f>
        <v/>
      </c>
      <c r="M238" s="28">
        <f>IF(L238&lt;=0,0,MAX(0,ROUNDUP(-LN(1-L238*(E238/12)/Parametry!$C$7)/LN(1+E238/12),0)))</f>
        <v/>
      </c>
    </row>
    <row r="239" ht="18" customHeight="1">
      <c r="A239" s="13" t="n">
        <v>237</v>
      </c>
      <c r="B239" s="14">
        <f>DATE(Parametry!$C$12+INT((Parametry!$C$13+237-2)/12),MOD(Parametry!$C$13+237-2,12)+1,Parametry!$C$11)</f>
        <v/>
      </c>
      <c r="C239" s="15" t="n">
        <v>237</v>
      </c>
      <c r="D239" s="16">
        <f>L238</f>
        <v/>
      </c>
      <c r="E239" s="17">
        <f>IF(C239&lt;=Parametry!$C$9,Parametry!$C$8,Parametry!$C$10)</f>
        <v/>
      </c>
      <c r="F239" s="16">
        <f>D239*E239/12</f>
        <v/>
      </c>
      <c r="G239" s="16">
        <f>Parametry!$C$7</f>
        <v/>
      </c>
      <c r="H239" s="18" t="n"/>
      <c r="I239" s="19">
        <f>Parametry!$C$7</f>
        <v/>
      </c>
      <c r="J239" s="20">
        <f>G239+IF(ISNUMBER(H239),H239,0)</f>
        <v/>
      </c>
      <c r="K239" s="16">
        <f>MAX(0,J239-F239)</f>
        <v/>
      </c>
      <c r="L239" s="20">
        <f>MAX(0,D239-K239)</f>
        <v/>
      </c>
      <c r="M239" s="21">
        <f>IF(L239&lt;=0,0,MAX(0,ROUNDUP(-LN(1-L239*(E239/12)/Parametry!$C$7)/LN(1+E239/12),0)))</f>
        <v/>
      </c>
    </row>
    <row r="240" ht="18" customHeight="1">
      <c r="A240" s="22" t="n">
        <v>238</v>
      </c>
      <c r="B240" s="23">
        <f>DATE(Parametry!$C$12+INT((Parametry!$C$13+238-2)/12),MOD(Parametry!$C$13+238-2,12)+1,Parametry!$C$11)</f>
        <v/>
      </c>
      <c r="C240" s="24" t="n">
        <v>238</v>
      </c>
      <c r="D240" s="25">
        <f>L239</f>
        <v/>
      </c>
      <c r="E240" s="26">
        <f>IF(C240&lt;=Parametry!$C$9,Parametry!$C$8,Parametry!$C$10)</f>
        <v/>
      </c>
      <c r="F240" s="25">
        <f>D240*E240/12</f>
        <v/>
      </c>
      <c r="G240" s="25">
        <f>Parametry!$C$7</f>
        <v/>
      </c>
      <c r="H240" s="18" t="n"/>
      <c r="I240" s="19">
        <f>Parametry!$C$7</f>
        <v/>
      </c>
      <c r="J240" s="27">
        <f>G240+IF(ISNUMBER(H240),H240,0)</f>
        <v/>
      </c>
      <c r="K240" s="25">
        <f>MAX(0,J240-F240)</f>
        <v/>
      </c>
      <c r="L240" s="27">
        <f>MAX(0,D240-K240)</f>
        <v/>
      </c>
      <c r="M240" s="28">
        <f>IF(L240&lt;=0,0,MAX(0,ROUNDUP(-LN(1-L240*(E240/12)/Parametry!$C$7)/LN(1+E240/12),0)))</f>
        <v/>
      </c>
    </row>
    <row r="241" ht="18" customHeight="1">
      <c r="A241" s="13" t="n">
        <v>239</v>
      </c>
      <c r="B241" s="14">
        <f>DATE(Parametry!$C$12+INT((Parametry!$C$13+239-2)/12),MOD(Parametry!$C$13+239-2,12)+1,Parametry!$C$11)</f>
        <v/>
      </c>
      <c r="C241" s="15" t="n">
        <v>239</v>
      </c>
      <c r="D241" s="16">
        <f>L240</f>
        <v/>
      </c>
      <c r="E241" s="17">
        <f>IF(C241&lt;=Parametry!$C$9,Parametry!$C$8,Parametry!$C$10)</f>
        <v/>
      </c>
      <c r="F241" s="16">
        <f>D241*E241/12</f>
        <v/>
      </c>
      <c r="G241" s="16">
        <f>Parametry!$C$7</f>
        <v/>
      </c>
      <c r="H241" s="18" t="n"/>
      <c r="I241" s="19">
        <f>Parametry!$C$7</f>
        <v/>
      </c>
      <c r="J241" s="20">
        <f>G241+IF(ISNUMBER(H241),H241,0)</f>
        <v/>
      </c>
      <c r="K241" s="16">
        <f>MAX(0,J241-F241)</f>
        <v/>
      </c>
      <c r="L241" s="20">
        <f>MAX(0,D241-K241)</f>
        <v/>
      </c>
      <c r="M241" s="21">
        <f>IF(L241&lt;=0,0,MAX(0,ROUNDUP(-LN(1-L241*(E241/12)/Parametry!$C$7)/LN(1+E241/12),0)))</f>
        <v/>
      </c>
    </row>
    <row r="242" ht="18" customHeight="1">
      <c r="A242" s="22" t="n">
        <v>240</v>
      </c>
      <c r="B242" s="23">
        <f>DATE(Parametry!$C$12+INT((Parametry!$C$13+240-2)/12),MOD(Parametry!$C$13+240-2,12)+1,Parametry!$C$11)</f>
        <v/>
      </c>
      <c r="C242" s="24" t="n">
        <v>240</v>
      </c>
      <c r="D242" s="25">
        <f>L241</f>
        <v/>
      </c>
      <c r="E242" s="26">
        <f>IF(C242&lt;=Parametry!$C$9,Parametry!$C$8,Parametry!$C$10)</f>
        <v/>
      </c>
      <c r="F242" s="25">
        <f>D242*E242/12</f>
        <v/>
      </c>
      <c r="G242" s="25">
        <f>Parametry!$C$7</f>
        <v/>
      </c>
      <c r="H242" s="18" t="n"/>
      <c r="I242" s="19">
        <f>Parametry!$C$7</f>
        <v/>
      </c>
      <c r="J242" s="27">
        <f>G242+IF(ISNUMBER(H242),H242,0)</f>
        <v/>
      </c>
      <c r="K242" s="25">
        <f>MAX(0,J242-F242)</f>
        <v/>
      </c>
      <c r="L242" s="27">
        <f>MAX(0,D242-K242)</f>
        <v/>
      </c>
      <c r="M242" s="28">
        <f>IF(L242&lt;=0,0,MAX(0,ROUNDUP(-LN(1-L242*(E242/12)/Parametry!$C$7)/LN(1+E242/12),0)))</f>
        <v/>
      </c>
    </row>
    <row r="243" ht="18" customHeight="1">
      <c r="A243" s="13" t="n">
        <v>241</v>
      </c>
      <c r="B243" s="14">
        <f>DATE(Parametry!$C$12+INT((Parametry!$C$13+241-2)/12),MOD(Parametry!$C$13+241-2,12)+1,Parametry!$C$11)</f>
        <v/>
      </c>
      <c r="C243" s="15" t="n">
        <v>241</v>
      </c>
      <c r="D243" s="16">
        <f>L242</f>
        <v/>
      </c>
      <c r="E243" s="17">
        <f>IF(C243&lt;=Parametry!$C$9,Parametry!$C$8,Parametry!$C$10)</f>
        <v/>
      </c>
      <c r="F243" s="16">
        <f>D243*E243/12</f>
        <v/>
      </c>
      <c r="G243" s="16">
        <f>Parametry!$C$7</f>
        <v/>
      </c>
      <c r="H243" s="18" t="n"/>
      <c r="I243" s="19">
        <f>Parametry!$C$7</f>
        <v/>
      </c>
      <c r="J243" s="20">
        <f>G243+IF(ISNUMBER(H243),H243,0)</f>
        <v/>
      </c>
      <c r="K243" s="16">
        <f>MAX(0,J243-F243)</f>
        <v/>
      </c>
      <c r="L243" s="20">
        <f>MAX(0,D243-K243)</f>
        <v/>
      </c>
      <c r="M243" s="21">
        <f>IF(L243&lt;=0,0,MAX(0,ROUNDUP(-LN(1-L243*(E243/12)/Parametry!$C$7)/LN(1+E243/12),0)))</f>
        <v/>
      </c>
    </row>
    <row r="244" ht="18" customHeight="1">
      <c r="A244" s="22" t="n">
        <v>242</v>
      </c>
      <c r="B244" s="23">
        <f>DATE(Parametry!$C$12+INT((Parametry!$C$13+242-2)/12),MOD(Parametry!$C$13+242-2,12)+1,Parametry!$C$11)</f>
        <v/>
      </c>
      <c r="C244" s="24" t="n">
        <v>242</v>
      </c>
      <c r="D244" s="25">
        <f>L243</f>
        <v/>
      </c>
      <c r="E244" s="26">
        <f>IF(C244&lt;=Parametry!$C$9,Parametry!$C$8,Parametry!$C$10)</f>
        <v/>
      </c>
      <c r="F244" s="25">
        <f>D244*E244/12</f>
        <v/>
      </c>
      <c r="G244" s="25">
        <f>Parametry!$C$7</f>
        <v/>
      </c>
      <c r="H244" s="18" t="n"/>
      <c r="I244" s="19">
        <f>Parametry!$C$7</f>
        <v/>
      </c>
      <c r="J244" s="27">
        <f>G244+IF(ISNUMBER(H244),H244,0)</f>
        <v/>
      </c>
      <c r="K244" s="25">
        <f>MAX(0,J244-F244)</f>
        <v/>
      </c>
      <c r="L244" s="27">
        <f>MAX(0,D244-K244)</f>
        <v/>
      </c>
      <c r="M244" s="28">
        <f>IF(L244&lt;=0,0,MAX(0,ROUNDUP(-LN(1-L244*(E244/12)/Parametry!$C$7)/LN(1+E244/12),0)))</f>
        <v/>
      </c>
    </row>
    <row r="245" ht="18" customHeight="1">
      <c r="A245" s="13" t="n">
        <v>243</v>
      </c>
      <c r="B245" s="14">
        <f>DATE(Parametry!$C$12+INT((Parametry!$C$13+243-2)/12),MOD(Parametry!$C$13+243-2,12)+1,Parametry!$C$11)</f>
        <v/>
      </c>
      <c r="C245" s="15" t="n">
        <v>243</v>
      </c>
      <c r="D245" s="16">
        <f>L244</f>
        <v/>
      </c>
      <c r="E245" s="17">
        <f>IF(C245&lt;=Parametry!$C$9,Parametry!$C$8,Parametry!$C$10)</f>
        <v/>
      </c>
      <c r="F245" s="16">
        <f>D245*E245/12</f>
        <v/>
      </c>
      <c r="G245" s="16">
        <f>Parametry!$C$7</f>
        <v/>
      </c>
      <c r="H245" s="18" t="n"/>
      <c r="I245" s="19">
        <f>Parametry!$C$7</f>
        <v/>
      </c>
      <c r="J245" s="20">
        <f>G245+IF(ISNUMBER(H245),H245,0)</f>
        <v/>
      </c>
      <c r="K245" s="16">
        <f>MAX(0,J245-F245)</f>
        <v/>
      </c>
      <c r="L245" s="20">
        <f>MAX(0,D245-K245)</f>
        <v/>
      </c>
      <c r="M245" s="21">
        <f>IF(L245&lt;=0,0,MAX(0,ROUNDUP(-LN(1-L245*(E245/12)/Parametry!$C$7)/LN(1+E245/12),0)))</f>
        <v/>
      </c>
    </row>
    <row r="246" ht="18" customHeight="1">
      <c r="A246" s="22" t="n">
        <v>244</v>
      </c>
      <c r="B246" s="23">
        <f>DATE(Parametry!$C$12+INT((Parametry!$C$13+244-2)/12),MOD(Parametry!$C$13+244-2,12)+1,Parametry!$C$11)</f>
        <v/>
      </c>
      <c r="C246" s="24" t="n">
        <v>244</v>
      </c>
      <c r="D246" s="25">
        <f>L245</f>
        <v/>
      </c>
      <c r="E246" s="26">
        <f>IF(C246&lt;=Parametry!$C$9,Parametry!$C$8,Parametry!$C$10)</f>
        <v/>
      </c>
      <c r="F246" s="25">
        <f>D246*E246/12</f>
        <v/>
      </c>
      <c r="G246" s="25">
        <f>Parametry!$C$7</f>
        <v/>
      </c>
      <c r="H246" s="18" t="n"/>
      <c r="I246" s="19">
        <f>Parametry!$C$7</f>
        <v/>
      </c>
      <c r="J246" s="27">
        <f>G246+IF(ISNUMBER(H246),H246,0)</f>
        <v/>
      </c>
      <c r="K246" s="25">
        <f>MAX(0,J246-F246)</f>
        <v/>
      </c>
      <c r="L246" s="27">
        <f>MAX(0,D246-K246)</f>
        <v/>
      </c>
      <c r="M246" s="28">
        <f>IF(L246&lt;=0,0,MAX(0,ROUNDUP(-LN(1-L246*(E246/12)/Parametry!$C$7)/LN(1+E246/12),0)))</f>
        <v/>
      </c>
    </row>
    <row r="247" ht="18" customHeight="1">
      <c r="A247" s="13" t="n">
        <v>245</v>
      </c>
      <c r="B247" s="14">
        <f>DATE(Parametry!$C$12+INT((Parametry!$C$13+245-2)/12),MOD(Parametry!$C$13+245-2,12)+1,Parametry!$C$11)</f>
        <v/>
      </c>
      <c r="C247" s="15" t="n">
        <v>245</v>
      </c>
      <c r="D247" s="16">
        <f>L246</f>
        <v/>
      </c>
      <c r="E247" s="17">
        <f>IF(C247&lt;=Parametry!$C$9,Parametry!$C$8,Parametry!$C$10)</f>
        <v/>
      </c>
      <c r="F247" s="16">
        <f>D247*E247/12</f>
        <v/>
      </c>
      <c r="G247" s="16">
        <f>Parametry!$C$7</f>
        <v/>
      </c>
      <c r="H247" s="18" t="n"/>
      <c r="I247" s="19">
        <f>Parametry!$C$7</f>
        <v/>
      </c>
      <c r="J247" s="20">
        <f>G247+IF(ISNUMBER(H247),H247,0)</f>
        <v/>
      </c>
      <c r="K247" s="16">
        <f>MAX(0,J247-F247)</f>
        <v/>
      </c>
      <c r="L247" s="20">
        <f>MAX(0,D247-K247)</f>
        <v/>
      </c>
      <c r="M247" s="21">
        <f>IF(L247&lt;=0,0,MAX(0,ROUNDUP(-LN(1-L247*(E247/12)/Parametry!$C$7)/LN(1+E247/12),0)))</f>
        <v/>
      </c>
    </row>
    <row r="248" ht="18" customHeight="1">
      <c r="A248" s="22" t="n">
        <v>246</v>
      </c>
      <c r="B248" s="23">
        <f>DATE(Parametry!$C$12+INT((Parametry!$C$13+246-2)/12),MOD(Parametry!$C$13+246-2,12)+1,Parametry!$C$11)</f>
        <v/>
      </c>
      <c r="C248" s="24" t="n">
        <v>246</v>
      </c>
      <c r="D248" s="25">
        <f>L247</f>
        <v/>
      </c>
      <c r="E248" s="26">
        <f>IF(C248&lt;=Parametry!$C$9,Parametry!$C$8,Parametry!$C$10)</f>
        <v/>
      </c>
      <c r="F248" s="25">
        <f>D248*E248/12</f>
        <v/>
      </c>
      <c r="G248" s="25">
        <f>Parametry!$C$7</f>
        <v/>
      </c>
      <c r="H248" s="18" t="n"/>
      <c r="I248" s="19">
        <f>Parametry!$C$7</f>
        <v/>
      </c>
      <c r="J248" s="27">
        <f>G248+IF(ISNUMBER(H248),H248,0)</f>
        <v/>
      </c>
      <c r="K248" s="25">
        <f>MAX(0,J248-F248)</f>
        <v/>
      </c>
      <c r="L248" s="27">
        <f>MAX(0,D248-K248)</f>
        <v/>
      </c>
      <c r="M248" s="28">
        <f>IF(L248&lt;=0,0,MAX(0,ROUNDUP(-LN(1-L248*(E248/12)/Parametry!$C$7)/LN(1+E248/12),0)))</f>
        <v/>
      </c>
    </row>
    <row r="249" ht="18" customHeight="1">
      <c r="A249" s="13" t="n">
        <v>247</v>
      </c>
      <c r="B249" s="14">
        <f>DATE(Parametry!$C$12+INT((Parametry!$C$13+247-2)/12),MOD(Parametry!$C$13+247-2,12)+1,Parametry!$C$11)</f>
        <v/>
      </c>
      <c r="C249" s="15" t="n">
        <v>247</v>
      </c>
      <c r="D249" s="16">
        <f>L248</f>
        <v/>
      </c>
      <c r="E249" s="17">
        <f>IF(C249&lt;=Parametry!$C$9,Parametry!$C$8,Parametry!$C$10)</f>
        <v/>
      </c>
      <c r="F249" s="16">
        <f>D249*E249/12</f>
        <v/>
      </c>
      <c r="G249" s="16">
        <f>Parametry!$C$7</f>
        <v/>
      </c>
      <c r="H249" s="18" t="n"/>
      <c r="I249" s="19">
        <f>Parametry!$C$7</f>
        <v/>
      </c>
      <c r="J249" s="20">
        <f>G249+IF(ISNUMBER(H249),H249,0)</f>
        <v/>
      </c>
      <c r="K249" s="16">
        <f>MAX(0,J249-F249)</f>
        <v/>
      </c>
      <c r="L249" s="20">
        <f>MAX(0,D249-K249)</f>
        <v/>
      </c>
      <c r="M249" s="21">
        <f>IF(L249&lt;=0,0,MAX(0,ROUNDUP(-LN(1-L249*(E249/12)/Parametry!$C$7)/LN(1+E249/12),0)))</f>
        <v/>
      </c>
    </row>
    <row r="250" ht="18" customHeight="1">
      <c r="A250" s="22" t="n">
        <v>248</v>
      </c>
      <c r="B250" s="23">
        <f>DATE(Parametry!$C$12+INT((Parametry!$C$13+248-2)/12),MOD(Parametry!$C$13+248-2,12)+1,Parametry!$C$11)</f>
        <v/>
      </c>
      <c r="C250" s="24" t="n">
        <v>248</v>
      </c>
      <c r="D250" s="25">
        <f>L249</f>
        <v/>
      </c>
      <c r="E250" s="26">
        <f>IF(C250&lt;=Parametry!$C$9,Parametry!$C$8,Parametry!$C$10)</f>
        <v/>
      </c>
      <c r="F250" s="25">
        <f>D250*E250/12</f>
        <v/>
      </c>
      <c r="G250" s="25">
        <f>Parametry!$C$7</f>
        <v/>
      </c>
      <c r="H250" s="18" t="n"/>
      <c r="I250" s="19">
        <f>Parametry!$C$7</f>
        <v/>
      </c>
      <c r="J250" s="27">
        <f>G250+IF(ISNUMBER(H250),H250,0)</f>
        <v/>
      </c>
      <c r="K250" s="25">
        <f>MAX(0,J250-F250)</f>
        <v/>
      </c>
      <c r="L250" s="27">
        <f>MAX(0,D250-K250)</f>
        <v/>
      </c>
      <c r="M250" s="28">
        <f>IF(L250&lt;=0,0,MAX(0,ROUNDUP(-LN(1-L250*(E250/12)/Parametry!$C$7)/LN(1+E250/12),0)))</f>
        <v/>
      </c>
    </row>
    <row r="251" ht="18" customHeight="1">
      <c r="A251" s="13" t="n">
        <v>249</v>
      </c>
      <c r="B251" s="14">
        <f>DATE(Parametry!$C$12+INT((Parametry!$C$13+249-2)/12),MOD(Parametry!$C$13+249-2,12)+1,Parametry!$C$11)</f>
        <v/>
      </c>
      <c r="C251" s="15" t="n">
        <v>249</v>
      </c>
      <c r="D251" s="16">
        <f>L250</f>
        <v/>
      </c>
      <c r="E251" s="17">
        <f>IF(C251&lt;=Parametry!$C$9,Parametry!$C$8,Parametry!$C$10)</f>
        <v/>
      </c>
      <c r="F251" s="16">
        <f>D251*E251/12</f>
        <v/>
      </c>
      <c r="G251" s="16">
        <f>Parametry!$C$7</f>
        <v/>
      </c>
      <c r="H251" s="18" t="n"/>
      <c r="I251" s="19">
        <f>Parametry!$C$7</f>
        <v/>
      </c>
      <c r="J251" s="20">
        <f>G251+IF(ISNUMBER(H251),H251,0)</f>
        <v/>
      </c>
      <c r="K251" s="16">
        <f>MAX(0,J251-F251)</f>
        <v/>
      </c>
      <c r="L251" s="20">
        <f>MAX(0,D251-K251)</f>
        <v/>
      </c>
      <c r="M251" s="21">
        <f>IF(L251&lt;=0,0,MAX(0,ROUNDUP(-LN(1-L251*(E251/12)/Parametry!$C$7)/LN(1+E251/12),0)))</f>
        <v/>
      </c>
    </row>
    <row r="252" ht="18" customHeight="1">
      <c r="A252" s="22" t="n">
        <v>250</v>
      </c>
      <c r="B252" s="23">
        <f>DATE(Parametry!$C$12+INT((Parametry!$C$13+250-2)/12),MOD(Parametry!$C$13+250-2,12)+1,Parametry!$C$11)</f>
        <v/>
      </c>
      <c r="C252" s="24" t="n">
        <v>250</v>
      </c>
      <c r="D252" s="25">
        <f>L251</f>
        <v/>
      </c>
      <c r="E252" s="26">
        <f>IF(C252&lt;=Parametry!$C$9,Parametry!$C$8,Parametry!$C$10)</f>
        <v/>
      </c>
      <c r="F252" s="25">
        <f>D252*E252/12</f>
        <v/>
      </c>
      <c r="G252" s="25">
        <f>Parametry!$C$7</f>
        <v/>
      </c>
      <c r="H252" s="18" t="n"/>
      <c r="I252" s="19">
        <f>Parametry!$C$7</f>
        <v/>
      </c>
      <c r="J252" s="27">
        <f>G252+IF(ISNUMBER(H252),H252,0)</f>
        <v/>
      </c>
      <c r="K252" s="25">
        <f>MAX(0,J252-F252)</f>
        <v/>
      </c>
      <c r="L252" s="27">
        <f>MAX(0,D252-K252)</f>
        <v/>
      </c>
      <c r="M252" s="28">
        <f>IF(L252&lt;=0,0,MAX(0,ROUNDUP(-LN(1-L252*(E252/12)/Parametry!$C$7)/LN(1+E252/12),0)))</f>
        <v/>
      </c>
    </row>
    <row r="253" ht="18" customHeight="1">
      <c r="A253" s="13" t="n">
        <v>251</v>
      </c>
      <c r="B253" s="14">
        <f>DATE(Parametry!$C$12+INT((Parametry!$C$13+251-2)/12),MOD(Parametry!$C$13+251-2,12)+1,Parametry!$C$11)</f>
        <v/>
      </c>
      <c r="C253" s="15" t="n">
        <v>251</v>
      </c>
      <c r="D253" s="16">
        <f>L252</f>
        <v/>
      </c>
      <c r="E253" s="17">
        <f>IF(C253&lt;=Parametry!$C$9,Parametry!$C$8,Parametry!$C$10)</f>
        <v/>
      </c>
      <c r="F253" s="16">
        <f>D253*E253/12</f>
        <v/>
      </c>
      <c r="G253" s="16">
        <f>Parametry!$C$7</f>
        <v/>
      </c>
      <c r="H253" s="18" t="n"/>
      <c r="I253" s="19">
        <f>Parametry!$C$7</f>
        <v/>
      </c>
      <c r="J253" s="20">
        <f>G253+IF(ISNUMBER(H253),H253,0)</f>
        <v/>
      </c>
      <c r="K253" s="16">
        <f>MAX(0,J253-F253)</f>
        <v/>
      </c>
      <c r="L253" s="20">
        <f>MAX(0,D253-K253)</f>
        <v/>
      </c>
      <c r="M253" s="21">
        <f>IF(L253&lt;=0,0,MAX(0,ROUNDUP(-LN(1-L253*(E253/12)/Parametry!$C$7)/LN(1+E253/12),0)))</f>
        <v/>
      </c>
    </row>
    <row r="254" ht="18" customHeight="1">
      <c r="A254" s="22" t="n">
        <v>252</v>
      </c>
      <c r="B254" s="23">
        <f>DATE(Parametry!$C$12+INT((Parametry!$C$13+252-2)/12),MOD(Parametry!$C$13+252-2,12)+1,Parametry!$C$11)</f>
        <v/>
      </c>
      <c r="C254" s="24" t="n">
        <v>252</v>
      </c>
      <c r="D254" s="25">
        <f>L253</f>
        <v/>
      </c>
      <c r="E254" s="26">
        <f>IF(C254&lt;=Parametry!$C$9,Parametry!$C$8,Parametry!$C$10)</f>
        <v/>
      </c>
      <c r="F254" s="25">
        <f>D254*E254/12</f>
        <v/>
      </c>
      <c r="G254" s="25">
        <f>Parametry!$C$7</f>
        <v/>
      </c>
      <c r="H254" s="18" t="n"/>
      <c r="I254" s="19">
        <f>Parametry!$C$7</f>
        <v/>
      </c>
      <c r="J254" s="27">
        <f>G254+IF(ISNUMBER(H254),H254,0)</f>
        <v/>
      </c>
      <c r="K254" s="25">
        <f>MAX(0,J254-F254)</f>
        <v/>
      </c>
      <c r="L254" s="27">
        <f>MAX(0,D254-K254)</f>
        <v/>
      </c>
      <c r="M254" s="28">
        <f>IF(L254&lt;=0,0,MAX(0,ROUNDUP(-LN(1-L254*(E254/12)/Parametry!$C$7)/LN(1+E254/12),0)))</f>
        <v/>
      </c>
    </row>
    <row r="255" ht="18" customHeight="1">
      <c r="A255" s="13" t="n">
        <v>253</v>
      </c>
      <c r="B255" s="14">
        <f>DATE(Parametry!$C$12+INT((Parametry!$C$13+253-2)/12),MOD(Parametry!$C$13+253-2,12)+1,Parametry!$C$11)</f>
        <v/>
      </c>
      <c r="C255" s="15" t="n">
        <v>253</v>
      </c>
      <c r="D255" s="16">
        <f>L254</f>
        <v/>
      </c>
      <c r="E255" s="17">
        <f>IF(C255&lt;=Parametry!$C$9,Parametry!$C$8,Parametry!$C$10)</f>
        <v/>
      </c>
      <c r="F255" s="16">
        <f>D255*E255/12</f>
        <v/>
      </c>
      <c r="G255" s="16">
        <f>Parametry!$C$7</f>
        <v/>
      </c>
      <c r="H255" s="18" t="n"/>
      <c r="I255" s="19">
        <f>Parametry!$C$7</f>
        <v/>
      </c>
      <c r="J255" s="20">
        <f>G255+IF(ISNUMBER(H255),H255,0)</f>
        <v/>
      </c>
      <c r="K255" s="16">
        <f>MAX(0,J255-F255)</f>
        <v/>
      </c>
      <c r="L255" s="20">
        <f>MAX(0,D255-K255)</f>
        <v/>
      </c>
      <c r="M255" s="21">
        <f>IF(L255&lt;=0,0,MAX(0,ROUNDUP(-LN(1-L255*(E255/12)/Parametry!$C$7)/LN(1+E255/12),0)))</f>
        <v/>
      </c>
    </row>
    <row r="256" ht="18" customHeight="1">
      <c r="A256" s="22" t="n">
        <v>254</v>
      </c>
      <c r="B256" s="23">
        <f>DATE(Parametry!$C$12+INT((Parametry!$C$13+254-2)/12),MOD(Parametry!$C$13+254-2,12)+1,Parametry!$C$11)</f>
        <v/>
      </c>
      <c r="C256" s="24" t="n">
        <v>254</v>
      </c>
      <c r="D256" s="25">
        <f>L255</f>
        <v/>
      </c>
      <c r="E256" s="26">
        <f>IF(C256&lt;=Parametry!$C$9,Parametry!$C$8,Parametry!$C$10)</f>
        <v/>
      </c>
      <c r="F256" s="25">
        <f>D256*E256/12</f>
        <v/>
      </c>
      <c r="G256" s="25">
        <f>Parametry!$C$7</f>
        <v/>
      </c>
      <c r="H256" s="18" t="n"/>
      <c r="I256" s="19">
        <f>Parametry!$C$7</f>
        <v/>
      </c>
      <c r="J256" s="27">
        <f>G256+IF(ISNUMBER(H256),H256,0)</f>
        <v/>
      </c>
      <c r="K256" s="25">
        <f>MAX(0,J256-F256)</f>
        <v/>
      </c>
      <c r="L256" s="27">
        <f>MAX(0,D256-K256)</f>
        <v/>
      </c>
      <c r="M256" s="28">
        <f>IF(L256&lt;=0,0,MAX(0,ROUNDUP(-LN(1-L256*(E256/12)/Parametry!$C$7)/LN(1+E256/12),0)))</f>
        <v/>
      </c>
    </row>
    <row r="257" ht="18" customHeight="1">
      <c r="A257" s="13" t="n">
        <v>255</v>
      </c>
      <c r="B257" s="14">
        <f>DATE(Parametry!$C$12+INT((Parametry!$C$13+255-2)/12),MOD(Parametry!$C$13+255-2,12)+1,Parametry!$C$11)</f>
        <v/>
      </c>
      <c r="C257" s="15" t="n">
        <v>255</v>
      </c>
      <c r="D257" s="16">
        <f>L256</f>
        <v/>
      </c>
      <c r="E257" s="17">
        <f>IF(C257&lt;=Parametry!$C$9,Parametry!$C$8,Parametry!$C$10)</f>
        <v/>
      </c>
      <c r="F257" s="16">
        <f>D257*E257/12</f>
        <v/>
      </c>
      <c r="G257" s="16">
        <f>Parametry!$C$7</f>
        <v/>
      </c>
      <c r="H257" s="18" t="n"/>
      <c r="I257" s="19">
        <f>Parametry!$C$7</f>
        <v/>
      </c>
      <c r="J257" s="20">
        <f>G257+IF(ISNUMBER(H257),H257,0)</f>
        <v/>
      </c>
      <c r="K257" s="16">
        <f>MAX(0,J257-F257)</f>
        <v/>
      </c>
      <c r="L257" s="20">
        <f>MAX(0,D257-K257)</f>
        <v/>
      </c>
      <c r="M257" s="21">
        <f>IF(L257&lt;=0,0,MAX(0,ROUNDUP(-LN(1-L257*(E257/12)/Parametry!$C$7)/LN(1+E257/12),0)))</f>
        <v/>
      </c>
    </row>
    <row r="258" ht="18" customHeight="1">
      <c r="A258" s="22" t="n">
        <v>256</v>
      </c>
      <c r="B258" s="23">
        <f>DATE(Parametry!$C$12+INT((Parametry!$C$13+256-2)/12),MOD(Parametry!$C$13+256-2,12)+1,Parametry!$C$11)</f>
        <v/>
      </c>
      <c r="C258" s="24" t="n">
        <v>256</v>
      </c>
      <c r="D258" s="25">
        <f>L257</f>
        <v/>
      </c>
      <c r="E258" s="26">
        <f>IF(C258&lt;=Parametry!$C$9,Parametry!$C$8,Parametry!$C$10)</f>
        <v/>
      </c>
      <c r="F258" s="25">
        <f>D258*E258/12</f>
        <v/>
      </c>
      <c r="G258" s="25">
        <f>Parametry!$C$7</f>
        <v/>
      </c>
      <c r="H258" s="18" t="n"/>
      <c r="I258" s="19">
        <f>Parametry!$C$7</f>
        <v/>
      </c>
      <c r="J258" s="27">
        <f>G258+IF(ISNUMBER(H258),H258,0)</f>
        <v/>
      </c>
      <c r="K258" s="25">
        <f>MAX(0,J258-F258)</f>
        <v/>
      </c>
      <c r="L258" s="27">
        <f>MAX(0,D258-K258)</f>
        <v/>
      </c>
      <c r="M258" s="28">
        <f>IF(L258&lt;=0,0,MAX(0,ROUNDUP(-LN(1-L258*(E258/12)/Parametry!$C$7)/LN(1+E258/12),0)))</f>
        <v/>
      </c>
    </row>
    <row r="259" ht="18" customHeight="1">
      <c r="A259" s="13" t="n">
        <v>257</v>
      </c>
      <c r="B259" s="14">
        <f>DATE(Parametry!$C$12+INT((Parametry!$C$13+257-2)/12),MOD(Parametry!$C$13+257-2,12)+1,Parametry!$C$11)</f>
        <v/>
      </c>
      <c r="C259" s="15" t="n">
        <v>257</v>
      </c>
      <c r="D259" s="16">
        <f>L258</f>
        <v/>
      </c>
      <c r="E259" s="17">
        <f>IF(C259&lt;=Parametry!$C$9,Parametry!$C$8,Parametry!$C$10)</f>
        <v/>
      </c>
      <c r="F259" s="16">
        <f>D259*E259/12</f>
        <v/>
      </c>
      <c r="G259" s="16">
        <f>Parametry!$C$7</f>
        <v/>
      </c>
      <c r="H259" s="18" t="n"/>
      <c r="I259" s="19">
        <f>Parametry!$C$7</f>
        <v/>
      </c>
      <c r="J259" s="20">
        <f>G259+IF(ISNUMBER(H259),H259,0)</f>
        <v/>
      </c>
      <c r="K259" s="16">
        <f>MAX(0,J259-F259)</f>
        <v/>
      </c>
      <c r="L259" s="20">
        <f>MAX(0,D259-K259)</f>
        <v/>
      </c>
      <c r="M259" s="21">
        <f>IF(L259&lt;=0,0,MAX(0,ROUNDUP(-LN(1-L259*(E259/12)/Parametry!$C$7)/LN(1+E259/12),0)))</f>
        <v/>
      </c>
    </row>
    <row r="260" ht="18" customHeight="1">
      <c r="A260" s="22" t="n">
        <v>258</v>
      </c>
      <c r="B260" s="23">
        <f>DATE(Parametry!$C$12+INT((Parametry!$C$13+258-2)/12),MOD(Parametry!$C$13+258-2,12)+1,Parametry!$C$11)</f>
        <v/>
      </c>
      <c r="C260" s="24" t="n">
        <v>258</v>
      </c>
      <c r="D260" s="25">
        <f>L259</f>
        <v/>
      </c>
      <c r="E260" s="26">
        <f>IF(C260&lt;=Parametry!$C$9,Parametry!$C$8,Parametry!$C$10)</f>
        <v/>
      </c>
      <c r="F260" s="25">
        <f>D260*E260/12</f>
        <v/>
      </c>
      <c r="G260" s="25">
        <f>Parametry!$C$7</f>
        <v/>
      </c>
      <c r="H260" s="18" t="n"/>
      <c r="I260" s="19">
        <f>Parametry!$C$7</f>
        <v/>
      </c>
      <c r="J260" s="27">
        <f>G260+IF(ISNUMBER(H260),H260,0)</f>
        <v/>
      </c>
      <c r="K260" s="25">
        <f>MAX(0,J260-F260)</f>
        <v/>
      </c>
      <c r="L260" s="27">
        <f>MAX(0,D260-K260)</f>
        <v/>
      </c>
      <c r="M260" s="28">
        <f>IF(L260&lt;=0,0,MAX(0,ROUNDUP(-LN(1-L260*(E260/12)/Parametry!$C$7)/LN(1+E260/12),0)))</f>
        <v/>
      </c>
    </row>
    <row r="261" ht="18" customHeight="1">
      <c r="A261" s="13" t="n">
        <v>259</v>
      </c>
      <c r="B261" s="14">
        <f>DATE(Parametry!$C$12+INT((Parametry!$C$13+259-2)/12),MOD(Parametry!$C$13+259-2,12)+1,Parametry!$C$11)</f>
        <v/>
      </c>
      <c r="C261" s="15" t="n">
        <v>259</v>
      </c>
      <c r="D261" s="16">
        <f>L260</f>
        <v/>
      </c>
      <c r="E261" s="17">
        <f>IF(C261&lt;=Parametry!$C$9,Parametry!$C$8,Parametry!$C$10)</f>
        <v/>
      </c>
      <c r="F261" s="16">
        <f>D261*E261/12</f>
        <v/>
      </c>
      <c r="G261" s="16">
        <f>Parametry!$C$7</f>
        <v/>
      </c>
      <c r="H261" s="18" t="n"/>
      <c r="I261" s="19">
        <f>Parametry!$C$7</f>
        <v/>
      </c>
      <c r="J261" s="20">
        <f>G261+IF(ISNUMBER(H261),H261,0)</f>
        <v/>
      </c>
      <c r="K261" s="16">
        <f>MAX(0,J261-F261)</f>
        <v/>
      </c>
      <c r="L261" s="20">
        <f>MAX(0,D261-K261)</f>
        <v/>
      </c>
      <c r="M261" s="21">
        <f>IF(L261&lt;=0,0,MAX(0,ROUNDUP(-LN(1-L261*(E261/12)/Parametry!$C$7)/LN(1+E261/12),0)))</f>
        <v/>
      </c>
    </row>
    <row r="262" ht="18" customHeight="1">
      <c r="A262" s="22" t="n">
        <v>260</v>
      </c>
      <c r="B262" s="23">
        <f>DATE(Parametry!$C$12+INT((Parametry!$C$13+260-2)/12),MOD(Parametry!$C$13+260-2,12)+1,Parametry!$C$11)</f>
        <v/>
      </c>
      <c r="C262" s="24" t="n">
        <v>260</v>
      </c>
      <c r="D262" s="25">
        <f>L261</f>
        <v/>
      </c>
      <c r="E262" s="26">
        <f>IF(C262&lt;=Parametry!$C$9,Parametry!$C$8,Parametry!$C$10)</f>
        <v/>
      </c>
      <c r="F262" s="25">
        <f>D262*E262/12</f>
        <v/>
      </c>
      <c r="G262" s="25">
        <f>Parametry!$C$7</f>
        <v/>
      </c>
      <c r="H262" s="18" t="n"/>
      <c r="I262" s="19">
        <f>Parametry!$C$7</f>
        <v/>
      </c>
      <c r="J262" s="27">
        <f>G262+IF(ISNUMBER(H262),H262,0)</f>
        <v/>
      </c>
      <c r="K262" s="25">
        <f>MAX(0,J262-F262)</f>
        <v/>
      </c>
      <c r="L262" s="27">
        <f>MAX(0,D262-K262)</f>
        <v/>
      </c>
      <c r="M262" s="28">
        <f>IF(L262&lt;=0,0,MAX(0,ROUNDUP(-LN(1-L262*(E262/12)/Parametry!$C$7)/LN(1+E262/12),0)))</f>
        <v/>
      </c>
    </row>
    <row r="263" ht="18" customHeight="1">
      <c r="A263" s="13" t="n">
        <v>261</v>
      </c>
      <c r="B263" s="14">
        <f>DATE(Parametry!$C$12+INT((Parametry!$C$13+261-2)/12),MOD(Parametry!$C$13+261-2,12)+1,Parametry!$C$11)</f>
        <v/>
      </c>
      <c r="C263" s="15" t="n">
        <v>261</v>
      </c>
      <c r="D263" s="16">
        <f>L262</f>
        <v/>
      </c>
      <c r="E263" s="17">
        <f>IF(C263&lt;=Parametry!$C$9,Parametry!$C$8,Parametry!$C$10)</f>
        <v/>
      </c>
      <c r="F263" s="16">
        <f>D263*E263/12</f>
        <v/>
      </c>
      <c r="G263" s="16">
        <f>Parametry!$C$7</f>
        <v/>
      </c>
      <c r="H263" s="18" t="n"/>
      <c r="I263" s="19">
        <f>Parametry!$C$7</f>
        <v/>
      </c>
      <c r="J263" s="20">
        <f>G263+IF(ISNUMBER(H263),H263,0)</f>
        <v/>
      </c>
      <c r="K263" s="16">
        <f>MAX(0,J263-F263)</f>
        <v/>
      </c>
      <c r="L263" s="20">
        <f>MAX(0,D263-K263)</f>
        <v/>
      </c>
      <c r="M263" s="21">
        <f>IF(L263&lt;=0,0,MAX(0,ROUNDUP(-LN(1-L263*(E263/12)/Parametry!$C$7)/LN(1+E263/12),0)))</f>
        <v/>
      </c>
    </row>
    <row r="264" ht="18" customHeight="1">
      <c r="A264" s="22" t="n">
        <v>262</v>
      </c>
      <c r="B264" s="23">
        <f>DATE(Parametry!$C$12+INT((Parametry!$C$13+262-2)/12),MOD(Parametry!$C$13+262-2,12)+1,Parametry!$C$11)</f>
        <v/>
      </c>
      <c r="C264" s="24" t="n">
        <v>262</v>
      </c>
      <c r="D264" s="25">
        <f>L263</f>
        <v/>
      </c>
      <c r="E264" s="26">
        <f>IF(C264&lt;=Parametry!$C$9,Parametry!$C$8,Parametry!$C$10)</f>
        <v/>
      </c>
      <c r="F264" s="25">
        <f>D264*E264/12</f>
        <v/>
      </c>
      <c r="G264" s="25">
        <f>Parametry!$C$7</f>
        <v/>
      </c>
      <c r="H264" s="18" t="n"/>
      <c r="I264" s="19">
        <f>Parametry!$C$7</f>
        <v/>
      </c>
      <c r="J264" s="27">
        <f>G264+IF(ISNUMBER(H264),H264,0)</f>
        <v/>
      </c>
      <c r="K264" s="25">
        <f>MAX(0,J264-F264)</f>
        <v/>
      </c>
      <c r="L264" s="27">
        <f>MAX(0,D264-K264)</f>
        <v/>
      </c>
      <c r="M264" s="28">
        <f>IF(L264&lt;=0,0,MAX(0,ROUNDUP(-LN(1-L264*(E264/12)/Parametry!$C$7)/LN(1+E264/12),0)))</f>
        <v/>
      </c>
    </row>
    <row r="265" ht="18" customHeight="1">
      <c r="A265" s="13" t="n">
        <v>263</v>
      </c>
      <c r="B265" s="14">
        <f>DATE(Parametry!$C$12+INT((Parametry!$C$13+263-2)/12),MOD(Parametry!$C$13+263-2,12)+1,Parametry!$C$11)</f>
        <v/>
      </c>
      <c r="C265" s="15" t="n">
        <v>263</v>
      </c>
      <c r="D265" s="16">
        <f>L264</f>
        <v/>
      </c>
      <c r="E265" s="17">
        <f>IF(C265&lt;=Parametry!$C$9,Parametry!$C$8,Parametry!$C$10)</f>
        <v/>
      </c>
      <c r="F265" s="16">
        <f>D265*E265/12</f>
        <v/>
      </c>
      <c r="G265" s="16">
        <f>Parametry!$C$7</f>
        <v/>
      </c>
      <c r="H265" s="18" t="n"/>
      <c r="I265" s="19">
        <f>Parametry!$C$7</f>
        <v/>
      </c>
      <c r="J265" s="20">
        <f>G265+IF(ISNUMBER(H265),H265,0)</f>
        <v/>
      </c>
      <c r="K265" s="16">
        <f>MAX(0,J265-F265)</f>
        <v/>
      </c>
      <c r="L265" s="20">
        <f>MAX(0,D265-K265)</f>
        <v/>
      </c>
      <c r="M265" s="21">
        <f>IF(L265&lt;=0,0,MAX(0,ROUNDUP(-LN(1-L265*(E265/12)/Parametry!$C$7)/LN(1+E265/12),0)))</f>
        <v/>
      </c>
    </row>
    <row r="266" ht="18" customHeight="1">
      <c r="A266" s="22" t="n">
        <v>264</v>
      </c>
      <c r="B266" s="23">
        <f>DATE(Parametry!$C$12+INT((Parametry!$C$13+264-2)/12),MOD(Parametry!$C$13+264-2,12)+1,Parametry!$C$11)</f>
        <v/>
      </c>
      <c r="C266" s="24" t="n">
        <v>264</v>
      </c>
      <c r="D266" s="25">
        <f>L265</f>
        <v/>
      </c>
      <c r="E266" s="26">
        <f>IF(C266&lt;=Parametry!$C$9,Parametry!$C$8,Parametry!$C$10)</f>
        <v/>
      </c>
      <c r="F266" s="25">
        <f>D266*E266/12</f>
        <v/>
      </c>
      <c r="G266" s="25">
        <f>Parametry!$C$7</f>
        <v/>
      </c>
      <c r="H266" s="18" t="n"/>
      <c r="I266" s="19">
        <f>Parametry!$C$7</f>
        <v/>
      </c>
      <c r="J266" s="27">
        <f>G266+IF(ISNUMBER(H266),H266,0)</f>
        <v/>
      </c>
      <c r="K266" s="25">
        <f>MAX(0,J266-F266)</f>
        <v/>
      </c>
      <c r="L266" s="27">
        <f>MAX(0,D266-K266)</f>
        <v/>
      </c>
      <c r="M266" s="28">
        <f>IF(L266&lt;=0,0,MAX(0,ROUNDUP(-LN(1-L266*(E266/12)/Parametry!$C$7)/LN(1+E266/12),0)))</f>
        <v/>
      </c>
    </row>
    <row r="267" ht="18" customHeight="1">
      <c r="A267" s="13" t="n">
        <v>265</v>
      </c>
      <c r="B267" s="14">
        <f>DATE(Parametry!$C$12+INT((Parametry!$C$13+265-2)/12),MOD(Parametry!$C$13+265-2,12)+1,Parametry!$C$11)</f>
        <v/>
      </c>
      <c r="C267" s="15" t="n">
        <v>265</v>
      </c>
      <c r="D267" s="16">
        <f>L266</f>
        <v/>
      </c>
      <c r="E267" s="17">
        <f>IF(C267&lt;=Parametry!$C$9,Parametry!$C$8,Parametry!$C$10)</f>
        <v/>
      </c>
      <c r="F267" s="16">
        <f>D267*E267/12</f>
        <v/>
      </c>
      <c r="G267" s="16">
        <f>Parametry!$C$7</f>
        <v/>
      </c>
      <c r="H267" s="18" t="n"/>
      <c r="I267" s="19">
        <f>Parametry!$C$7</f>
        <v/>
      </c>
      <c r="J267" s="20">
        <f>G267+IF(ISNUMBER(H267),H267,0)</f>
        <v/>
      </c>
      <c r="K267" s="16">
        <f>MAX(0,J267-F267)</f>
        <v/>
      </c>
      <c r="L267" s="20">
        <f>MAX(0,D267-K267)</f>
        <v/>
      </c>
      <c r="M267" s="21">
        <f>IF(L267&lt;=0,0,MAX(0,ROUNDUP(-LN(1-L267*(E267/12)/Parametry!$C$7)/LN(1+E267/12),0)))</f>
        <v/>
      </c>
    </row>
    <row r="268" ht="18" customHeight="1">
      <c r="A268" s="22" t="n">
        <v>266</v>
      </c>
      <c r="B268" s="23">
        <f>DATE(Parametry!$C$12+INT((Parametry!$C$13+266-2)/12),MOD(Parametry!$C$13+266-2,12)+1,Parametry!$C$11)</f>
        <v/>
      </c>
      <c r="C268" s="24" t="n">
        <v>266</v>
      </c>
      <c r="D268" s="25">
        <f>L267</f>
        <v/>
      </c>
      <c r="E268" s="26">
        <f>IF(C268&lt;=Parametry!$C$9,Parametry!$C$8,Parametry!$C$10)</f>
        <v/>
      </c>
      <c r="F268" s="25">
        <f>D268*E268/12</f>
        <v/>
      </c>
      <c r="G268" s="25">
        <f>Parametry!$C$7</f>
        <v/>
      </c>
      <c r="H268" s="18" t="n"/>
      <c r="I268" s="19">
        <f>Parametry!$C$7</f>
        <v/>
      </c>
      <c r="J268" s="27">
        <f>G268+IF(ISNUMBER(H268),H268,0)</f>
        <v/>
      </c>
      <c r="K268" s="25">
        <f>MAX(0,J268-F268)</f>
        <v/>
      </c>
      <c r="L268" s="27">
        <f>MAX(0,D268-K268)</f>
        <v/>
      </c>
      <c r="M268" s="28">
        <f>IF(L268&lt;=0,0,MAX(0,ROUNDUP(-LN(1-L268*(E268/12)/Parametry!$C$7)/LN(1+E268/12),0)))</f>
        <v/>
      </c>
    </row>
    <row r="269" ht="18" customHeight="1">
      <c r="A269" s="13" t="n">
        <v>267</v>
      </c>
      <c r="B269" s="14">
        <f>DATE(Parametry!$C$12+INT((Parametry!$C$13+267-2)/12),MOD(Parametry!$C$13+267-2,12)+1,Parametry!$C$11)</f>
        <v/>
      </c>
      <c r="C269" s="15" t="n">
        <v>267</v>
      </c>
      <c r="D269" s="16">
        <f>L268</f>
        <v/>
      </c>
      <c r="E269" s="17">
        <f>IF(C269&lt;=Parametry!$C$9,Parametry!$C$8,Parametry!$C$10)</f>
        <v/>
      </c>
      <c r="F269" s="16">
        <f>D269*E269/12</f>
        <v/>
      </c>
      <c r="G269" s="16">
        <f>Parametry!$C$7</f>
        <v/>
      </c>
      <c r="H269" s="18" t="n"/>
      <c r="I269" s="19">
        <f>Parametry!$C$7</f>
        <v/>
      </c>
      <c r="J269" s="20">
        <f>G269+IF(ISNUMBER(H269),H269,0)</f>
        <v/>
      </c>
      <c r="K269" s="16">
        <f>MAX(0,J269-F269)</f>
        <v/>
      </c>
      <c r="L269" s="20">
        <f>MAX(0,D269-K269)</f>
        <v/>
      </c>
      <c r="M269" s="21">
        <f>IF(L269&lt;=0,0,MAX(0,ROUNDUP(-LN(1-L269*(E269/12)/Parametry!$C$7)/LN(1+E269/12),0)))</f>
        <v/>
      </c>
    </row>
    <row r="270" ht="18" customHeight="1">
      <c r="A270" s="22" t="n">
        <v>268</v>
      </c>
      <c r="B270" s="23">
        <f>DATE(Parametry!$C$12+INT((Parametry!$C$13+268-2)/12),MOD(Parametry!$C$13+268-2,12)+1,Parametry!$C$11)</f>
        <v/>
      </c>
      <c r="C270" s="24" t="n">
        <v>268</v>
      </c>
      <c r="D270" s="25">
        <f>L269</f>
        <v/>
      </c>
      <c r="E270" s="26">
        <f>IF(C270&lt;=Parametry!$C$9,Parametry!$C$8,Parametry!$C$10)</f>
        <v/>
      </c>
      <c r="F270" s="25">
        <f>D270*E270/12</f>
        <v/>
      </c>
      <c r="G270" s="25">
        <f>Parametry!$C$7</f>
        <v/>
      </c>
      <c r="H270" s="18" t="n"/>
      <c r="I270" s="19">
        <f>Parametry!$C$7</f>
        <v/>
      </c>
      <c r="J270" s="27">
        <f>G270+IF(ISNUMBER(H270),H270,0)</f>
        <v/>
      </c>
      <c r="K270" s="25">
        <f>MAX(0,J270-F270)</f>
        <v/>
      </c>
      <c r="L270" s="27">
        <f>MAX(0,D270-K270)</f>
        <v/>
      </c>
      <c r="M270" s="28">
        <f>IF(L270&lt;=0,0,MAX(0,ROUNDUP(-LN(1-L270*(E270/12)/Parametry!$C$7)/LN(1+E270/12),0)))</f>
        <v/>
      </c>
    </row>
    <row r="271" ht="18" customHeight="1">
      <c r="A271" s="13" t="n">
        <v>269</v>
      </c>
      <c r="B271" s="14">
        <f>DATE(Parametry!$C$12+INT((Parametry!$C$13+269-2)/12),MOD(Parametry!$C$13+269-2,12)+1,Parametry!$C$11)</f>
        <v/>
      </c>
      <c r="C271" s="15" t="n">
        <v>269</v>
      </c>
      <c r="D271" s="16">
        <f>L270</f>
        <v/>
      </c>
      <c r="E271" s="17">
        <f>IF(C271&lt;=Parametry!$C$9,Parametry!$C$8,Parametry!$C$10)</f>
        <v/>
      </c>
      <c r="F271" s="16">
        <f>D271*E271/12</f>
        <v/>
      </c>
      <c r="G271" s="16">
        <f>Parametry!$C$7</f>
        <v/>
      </c>
      <c r="H271" s="18" t="n"/>
      <c r="I271" s="19">
        <f>Parametry!$C$7</f>
        <v/>
      </c>
      <c r="J271" s="20">
        <f>G271+IF(ISNUMBER(H271),H271,0)</f>
        <v/>
      </c>
      <c r="K271" s="16">
        <f>MAX(0,J271-F271)</f>
        <v/>
      </c>
      <c r="L271" s="20">
        <f>MAX(0,D271-K271)</f>
        <v/>
      </c>
      <c r="M271" s="21">
        <f>IF(L271&lt;=0,0,MAX(0,ROUNDUP(-LN(1-L271*(E271/12)/Parametry!$C$7)/LN(1+E271/12),0)))</f>
        <v/>
      </c>
    </row>
    <row r="272" ht="18" customHeight="1">
      <c r="A272" s="22" t="n">
        <v>270</v>
      </c>
      <c r="B272" s="23">
        <f>DATE(Parametry!$C$12+INT((Parametry!$C$13+270-2)/12),MOD(Parametry!$C$13+270-2,12)+1,Parametry!$C$11)</f>
        <v/>
      </c>
      <c r="C272" s="24" t="n">
        <v>270</v>
      </c>
      <c r="D272" s="25">
        <f>L271</f>
        <v/>
      </c>
      <c r="E272" s="26">
        <f>IF(C272&lt;=Parametry!$C$9,Parametry!$C$8,Parametry!$C$10)</f>
        <v/>
      </c>
      <c r="F272" s="25">
        <f>D272*E272/12</f>
        <v/>
      </c>
      <c r="G272" s="25">
        <f>Parametry!$C$7</f>
        <v/>
      </c>
      <c r="H272" s="18" t="n"/>
      <c r="I272" s="19">
        <f>Parametry!$C$7</f>
        <v/>
      </c>
      <c r="J272" s="27">
        <f>G272+IF(ISNUMBER(H272),H272,0)</f>
        <v/>
      </c>
      <c r="K272" s="25">
        <f>MAX(0,J272-F272)</f>
        <v/>
      </c>
      <c r="L272" s="27">
        <f>MAX(0,D272-K272)</f>
        <v/>
      </c>
      <c r="M272" s="28">
        <f>IF(L272&lt;=0,0,MAX(0,ROUNDUP(-LN(1-L272*(E272/12)/Parametry!$C$7)/LN(1+E272/12),0)))</f>
        <v/>
      </c>
    </row>
    <row r="273" ht="18" customHeight="1">
      <c r="A273" s="13" t="n">
        <v>271</v>
      </c>
      <c r="B273" s="14">
        <f>DATE(Parametry!$C$12+INT((Parametry!$C$13+271-2)/12),MOD(Parametry!$C$13+271-2,12)+1,Parametry!$C$11)</f>
        <v/>
      </c>
      <c r="C273" s="15" t="n">
        <v>271</v>
      </c>
      <c r="D273" s="16">
        <f>L272</f>
        <v/>
      </c>
      <c r="E273" s="17">
        <f>IF(C273&lt;=Parametry!$C$9,Parametry!$C$8,Parametry!$C$10)</f>
        <v/>
      </c>
      <c r="F273" s="16">
        <f>D273*E273/12</f>
        <v/>
      </c>
      <c r="G273" s="16">
        <f>Parametry!$C$7</f>
        <v/>
      </c>
      <c r="H273" s="18" t="n"/>
      <c r="I273" s="19">
        <f>Parametry!$C$7</f>
        <v/>
      </c>
      <c r="J273" s="20">
        <f>G273+IF(ISNUMBER(H273),H273,0)</f>
        <v/>
      </c>
      <c r="K273" s="16">
        <f>MAX(0,J273-F273)</f>
        <v/>
      </c>
      <c r="L273" s="20">
        <f>MAX(0,D273-K273)</f>
        <v/>
      </c>
      <c r="M273" s="21">
        <f>IF(L273&lt;=0,0,MAX(0,ROUNDUP(-LN(1-L273*(E273/12)/Parametry!$C$7)/LN(1+E273/12),0)))</f>
        <v/>
      </c>
    </row>
    <row r="274" ht="18" customHeight="1">
      <c r="A274" s="22" t="n">
        <v>272</v>
      </c>
      <c r="B274" s="23">
        <f>DATE(Parametry!$C$12+INT((Parametry!$C$13+272-2)/12),MOD(Parametry!$C$13+272-2,12)+1,Parametry!$C$11)</f>
        <v/>
      </c>
      <c r="C274" s="24" t="n">
        <v>272</v>
      </c>
      <c r="D274" s="25">
        <f>L273</f>
        <v/>
      </c>
      <c r="E274" s="26">
        <f>IF(C274&lt;=Parametry!$C$9,Parametry!$C$8,Parametry!$C$10)</f>
        <v/>
      </c>
      <c r="F274" s="25">
        <f>D274*E274/12</f>
        <v/>
      </c>
      <c r="G274" s="25">
        <f>Parametry!$C$7</f>
        <v/>
      </c>
      <c r="H274" s="18" t="n"/>
      <c r="I274" s="19">
        <f>Parametry!$C$7</f>
        <v/>
      </c>
      <c r="J274" s="27">
        <f>G274+IF(ISNUMBER(H274),H274,0)</f>
        <v/>
      </c>
      <c r="K274" s="25">
        <f>MAX(0,J274-F274)</f>
        <v/>
      </c>
      <c r="L274" s="27">
        <f>MAX(0,D274-K274)</f>
        <v/>
      </c>
      <c r="M274" s="28">
        <f>IF(L274&lt;=0,0,MAX(0,ROUNDUP(-LN(1-L274*(E274/12)/Parametry!$C$7)/LN(1+E274/12),0)))</f>
        <v/>
      </c>
    </row>
    <row r="275" ht="18" customHeight="1">
      <c r="A275" s="13" t="n">
        <v>273</v>
      </c>
      <c r="B275" s="14">
        <f>DATE(Parametry!$C$12+INT((Parametry!$C$13+273-2)/12),MOD(Parametry!$C$13+273-2,12)+1,Parametry!$C$11)</f>
        <v/>
      </c>
      <c r="C275" s="15" t="n">
        <v>273</v>
      </c>
      <c r="D275" s="16">
        <f>L274</f>
        <v/>
      </c>
      <c r="E275" s="17">
        <f>IF(C275&lt;=Parametry!$C$9,Parametry!$C$8,Parametry!$C$10)</f>
        <v/>
      </c>
      <c r="F275" s="16">
        <f>D275*E275/12</f>
        <v/>
      </c>
      <c r="G275" s="16">
        <f>Parametry!$C$7</f>
        <v/>
      </c>
      <c r="H275" s="18" t="n"/>
      <c r="I275" s="19">
        <f>Parametry!$C$7</f>
        <v/>
      </c>
      <c r="J275" s="20">
        <f>G275+IF(ISNUMBER(H275),H275,0)</f>
        <v/>
      </c>
      <c r="K275" s="16">
        <f>MAX(0,J275-F275)</f>
        <v/>
      </c>
      <c r="L275" s="20">
        <f>MAX(0,D275-K275)</f>
        <v/>
      </c>
      <c r="M275" s="21">
        <f>IF(L275&lt;=0,0,MAX(0,ROUNDUP(-LN(1-L275*(E275/12)/Parametry!$C$7)/LN(1+E275/12),0)))</f>
        <v/>
      </c>
    </row>
    <row r="276" ht="18" customHeight="1">
      <c r="A276" s="22" t="n">
        <v>274</v>
      </c>
      <c r="B276" s="23">
        <f>DATE(Parametry!$C$12+INT((Parametry!$C$13+274-2)/12),MOD(Parametry!$C$13+274-2,12)+1,Parametry!$C$11)</f>
        <v/>
      </c>
      <c r="C276" s="24" t="n">
        <v>274</v>
      </c>
      <c r="D276" s="25">
        <f>L275</f>
        <v/>
      </c>
      <c r="E276" s="26">
        <f>IF(C276&lt;=Parametry!$C$9,Parametry!$C$8,Parametry!$C$10)</f>
        <v/>
      </c>
      <c r="F276" s="25">
        <f>D276*E276/12</f>
        <v/>
      </c>
      <c r="G276" s="25">
        <f>Parametry!$C$7</f>
        <v/>
      </c>
      <c r="H276" s="18" t="n"/>
      <c r="I276" s="19">
        <f>Parametry!$C$7</f>
        <v/>
      </c>
      <c r="J276" s="27">
        <f>G276+IF(ISNUMBER(H276),H276,0)</f>
        <v/>
      </c>
      <c r="K276" s="25">
        <f>MAX(0,J276-F276)</f>
        <v/>
      </c>
      <c r="L276" s="27">
        <f>MAX(0,D276-K276)</f>
        <v/>
      </c>
      <c r="M276" s="28">
        <f>IF(L276&lt;=0,0,MAX(0,ROUNDUP(-LN(1-L276*(E276/12)/Parametry!$C$7)/LN(1+E276/12),0)))</f>
        <v/>
      </c>
    </row>
    <row r="277" ht="18" customHeight="1">
      <c r="A277" s="13" t="n">
        <v>275</v>
      </c>
      <c r="B277" s="14">
        <f>DATE(Parametry!$C$12+INT((Parametry!$C$13+275-2)/12),MOD(Parametry!$C$13+275-2,12)+1,Parametry!$C$11)</f>
        <v/>
      </c>
      <c r="C277" s="15" t="n">
        <v>275</v>
      </c>
      <c r="D277" s="16">
        <f>L276</f>
        <v/>
      </c>
      <c r="E277" s="17">
        <f>IF(C277&lt;=Parametry!$C$9,Parametry!$C$8,Parametry!$C$10)</f>
        <v/>
      </c>
      <c r="F277" s="16">
        <f>D277*E277/12</f>
        <v/>
      </c>
      <c r="G277" s="16">
        <f>Parametry!$C$7</f>
        <v/>
      </c>
      <c r="H277" s="18" t="n"/>
      <c r="I277" s="19">
        <f>Parametry!$C$7</f>
        <v/>
      </c>
      <c r="J277" s="20">
        <f>G277+IF(ISNUMBER(H277),H277,0)</f>
        <v/>
      </c>
      <c r="K277" s="16">
        <f>MAX(0,J277-F277)</f>
        <v/>
      </c>
      <c r="L277" s="20">
        <f>MAX(0,D277-K277)</f>
        <v/>
      </c>
      <c r="M277" s="21">
        <f>IF(L277&lt;=0,0,MAX(0,ROUNDUP(-LN(1-L277*(E277/12)/Parametry!$C$7)/LN(1+E277/12),0)))</f>
        <v/>
      </c>
    </row>
    <row r="278" ht="18" customHeight="1">
      <c r="A278" s="22" t="n">
        <v>276</v>
      </c>
      <c r="B278" s="23">
        <f>DATE(Parametry!$C$12+INT((Parametry!$C$13+276-2)/12),MOD(Parametry!$C$13+276-2,12)+1,Parametry!$C$11)</f>
        <v/>
      </c>
      <c r="C278" s="24" t="n">
        <v>276</v>
      </c>
      <c r="D278" s="25">
        <f>L277</f>
        <v/>
      </c>
      <c r="E278" s="26">
        <f>IF(C278&lt;=Parametry!$C$9,Parametry!$C$8,Parametry!$C$10)</f>
        <v/>
      </c>
      <c r="F278" s="25">
        <f>D278*E278/12</f>
        <v/>
      </c>
      <c r="G278" s="25">
        <f>Parametry!$C$7</f>
        <v/>
      </c>
      <c r="H278" s="18" t="n"/>
      <c r="I278" s="19">
        <f>Parametry!$C$7</f>
        <v/>
      </c>
      <c r="J278" s="27">
        <f>G278+IF(ISNUMBER(H278),H278,0)</f>
        <v/>
      </c>
      <c r="K278" s="25">
        <f>MAX(0,J278-F278)</f>
        <v/>
      </c>
      <c r="L278" s="27">
        <f>MAX(0,D278-K278)</f>
        <v/>
      </c>
      <c r="M278" s="28">
        <f>IF(L278&lt;=0,0,MAX(0,ROUNDUP(-LN(1-L278*(E278/12)/Parametry!$C$7)/LN(1+E278/12),0)))</f>
        <v/>
      </c>
    </row>
    <row r="279" ht="18" customHeight="1">
      <c r="A279" s="13" t="n">
        <v>277</v>
      </c>
      <c r="B279" s="14">
        <f>DATE(Parametry!$C$12+INT((Parametry!$C$13+277-2)/12),MOD(Parametry!$C$13+277-2,12)+1,Parametry!$C$11)</f>
        <v/>
      </c>
      <c r="C279" s="15" t="n">
        <v>277</v>
      </c>
      <c r="D279" s="16">
        <f>L278</f>
        <v/>
      </c>
      <c r="E279" s="17">
        <f>IF(C279&lt;=Parametry!$C$9,Parametry!$C$8,Parametry!$C$10)</f>
        <v/>
      </c>
      <c r="F279" s="16">
        <f>D279*E279/12</f>
        <v/>
      </c>
      <c r="G279" s="16">
        <f>Parametry!$C$7</f>
        <v/>
      </c>
      <c r="H279" s="18" t="n"/>
      <c r="I279" s="19">
        <f>Parametry!$C$7</f>
        <v/>
      </c>
      <c r="J279" s="20">
        <f>G279+IF(ISNUMBER(H279),H279,0)</f>
        <v/>
      </c>
      <c r="K279" s="16">
        <f>MAX(0,J279-F279)</f>
        <v/>
      </c>
      <c r="L279" s="20">
        <f>MAX(0,D279-K279)</f>
        <v/>
      </c>
      <c r="M279" s="21">
        <f>IF(L279&lt;=0,0,MAX(0,ROUNDUP(-LN(1-L279*(E279/12)/Parametry!$C$7)/LN(1+E279/12),0)))</f>
        <v/>
      </c>
    </row>
    <row r="280" ht="18" customHeight="1">
      <c r="A280" s="22" t="n">
        <v>278</v>
      </c>
      <c r="B280" s="23">
        <f>DATE(Parametry!$C$12+INT((Parametry!$C$13+278-2)/12),MOD(Parametry!$C$13+278-2,12)+1,Parametry!$C$11)</f>
        <v/>
      </c>
      <c r="C280" s="24" t="n">
        <v>278</v>
      </c>
      <c r="D280" s="25">
        <f>L279</f>
        <v/>
      </c>
      <c r="E280" s="26">
        <f>IF(C280&lt;=Parametry!$C$9,Parametry!$C$8,Parametry!$C$10)</f>
        <v/>
      </c>
      <c r="F280" s="25">
        <f>D280*E280/12</f>
        <v/>
      </c>
      <c r="G280" s="25">
        <f>Parametry!$C$7</f>
        <v/>
      </c>
      <c r="H280" s="18" t="n"/>
      <c r="I280" s="19">
        <f>Parametry!$C$7</f>
        <v/>
      </c>
      <c r="J280" s="27">
        <f>G280+IF(ISNUMBER(H280),H280,0)</f>
        <v/>
      </c>
      <c r="K280" s="25">
        <f>MAX(0,J280-F280)</f>
        <v/>
      </c>
      <c r="L280" s="27">
        <f>MAX(0,D280-K280)</f>
        <v/>
      </c>
      <c r="M280" s="28">
        <f>IF(L280&lt;=0,0,MAX(0,ROUNDUP(-LN(1-L280*(E280/12)/Parametry!$C$7)/LN(1+E280/12),0)))</f>
        <v/>
      </c>
    </row>
    <row r="281" ht="18" customHeight="1">
      <c r="A281" s="13" t="n">
        <v>279</v>
      </c>
      <c r="B281" s="14">
        <f>DATE(Parametry!$C$12+INT((Parametry!$C$13+279-2)/12),MOD(Parametry!$C$13+279-2,12)+1,Parametry!$C$11)</f>
        <v/>
      </c>
      <c r="C281" s="15" t="n">
        <v>279</v>
      </c>
      <c r="D281" s="16">
        <f>L280</f>
        <v/>
      </c>
      <c r="E281" s="17">
        <f>IF(C281&lt;=Parametry!$C$9,Parametry!$C$8,Parametry!$C$10)</f>
        <v/>
      </c>
      <c r="F281" s="16">
        <f>D281*E281/12</f>
        <v/>
      </c>
      <c r="G281" s="16">
        <f>Parametry!$C$7</f>
        <v/>
      </c>
      <c r="H281" s="18" t="n"/>
      <c r="I281" s="19">
        <f>Parametry!$C$7</f>
        <v/>
      </c>
      <c r="J281" s="20">
        <f>G281+IF(ISNUMBER(H281),H281,0)</f>
        <v/>
      </c>
      <c r="K281" s="16">
        <f>MAX(0,J281-F281)</f>
        <v/>
      </c>
      <c r="L281" s="20">
        <f>MAX(0,D281-K281)</f>
        <v/>
      </c>
      <c r="M281" s="21">
        <f>IF(L281&lt;=0,0,MAX(0,ROUNDUP(-LN(1-L281*(E281/12)/Parametry!$C$7)/LN(1+E281/12),0)))</f>
        <v/>
      </c>
    </row>
    <row r="282" ht="18" customHeight="1">
      <c r="A282" s="22" t="n">
        <v>280</v>
      </c>
      <c r="B282" s="23">
        <f>DATE(Parametry!$C$12+INT((Parametry!$C$13+280-2)/12),MOD(Parametry!$C$13+280-2,12)+1,Parametry!$C$11)</f>
        <v/>
      </c>
      <c r="C282" s="24" t="n">
        <v>280</v>
      </c>
      <c r="D282" s="25">
        <f>L281</f>
        <v/>
      </c>
      <c r="E282" s="26">
        <f>IF(C282&lt;=Parametry!$C$9,Parametry!$C$8,Parametry!$C$10)</f>
        <v/>
      </c>
      <c r="F282" s="25">
        <f>D282*E282/12</f>
        <v/>
      </c>
      <c r="G282" s="25">
        <f>Parametry!$C$7</f>
        <v/>
      </c>
      <c r="H282" s="18" t="n"/>
      <c r="I282" s="19">
        <f>Parametry!$C$7</f>
        <v/>
      </c>
      <c r="J282" s="27">
        <f>G282+IF(ISNUMBER(H282),H282,0)</f>
        <v/>
      </c>
      <c r="K282" s="25">
        <f>MAX(0,J282-F282)</f>
        <v/>
      </c>
      <c r="L282" s="27">
        <f>MAX(0,D282-K282)</f>
        <v/>
      </c>
      <c r="M282" s="28">
        <f>IF(L282&lt;=0,0,MAX(0,ROUNDUP(-LN(1-L282*(E282/12)/Parametry!$C$7)/LN(1+E282/12),0)))</f>
        <v/>
      </c>
    </row>
    <row r="283" ht="18" customHeight="1">
      <c r="A283" s="13" t="n">
        <v>281</v>
      </c>
      <c r="B283" s="14">
        <f>DATE(Parametry!$C$12+INT((Parametry!$C$13+281-2)/12),MOD(Parametry!$C$13+281-2,12)+1,Parametry!$C$11)</f>
        <v/>
      </c>
      <c r="C283" s="15" t="n">
        <v>281</v>
      </c>
      <c r="D283" s="16">
        <f>L282</f>
        <v/>
      </c>
      <c r="E283" s="17">
        <f>IF(C283&lt;=Parametry!$C$9,Parametry!$C$8,Parametry!$C$10)</f>
        <v/>
      </c>
      <c r="F283" s="16">
        <f>D283*E283/12</f>
        <v/>
      </c>
      <c r="G283" s="16">
        <f>Parametry!$C$7</f>
        <v/>
      </c>
      <c r="H283" s="18" t="n"/>
      <c r="I283" s="19">
        <f>Parametry!$C$7</f>
        <v/>
      </c>
      <c r="J283" s="20">
        <f>G283+IF(ISNUMBER(H283),H283,0)</f>
        <v/>
      </c>
      <c r="K283" s="16">
        <f>MAX(0,J283-F283)</f>
        <v/>
      </c>
      <c r="L283" s="20">
        <f>MAX(0,D283-K283)</f>
        <v/>
      </c>
      <c r="M283" s="21">
        <f>IF(L283&lt;=0,0,MAX(0,ROUNDUP(-LN(1-L283*(E283/12)/Parametry!$C$7)/LN(1+E283/12),0)))</f>
        <v/>
      </c>
    </row>
    <row r="284" ht="18" customHeight="1">
      <c r="A284" s="22" t="n">
        <v>282</v>
      </c>
      <c r="B284" s="23">
        <f>DATE(Parametry!$C$12+INT((Parametry!$C$13+282-2)/12),MOD(Parametry!$C$13+282-2,12)+1,Parametry!$C$11)</f>
        <v/>
      </c>
      <c r="C284" s="24" t="n">
        <v>282</v>
      </c>
      <c r="D284" s="25">
        <f>L283</f>
        <v/>
      </c>
      <c r="E284" s="26">
        <f>IF(C284&lt;=Parametry!$C$9,Parametry!$C$8,Parametry!$C$10)</f>
        <v/>
      </c>
      <c r="F284" s="25">
        <f>D284*E284/12</f>
        <v/>
      </c>
      <c r="G284" s="25">
        <f>Parametry!$C$7</f>
        <v/>
      </c>
      <c r="H284" s="18" t="n"/>
      <c r="I284" s="19">
        <f>Parametry!$C$7</f>
        <v/>
      </c>
      <c r="J284" s="27">
        <f>G284+IF(ISNUMBER(H284),H284,0)</f>
        <v/>
      </c>
      <c r="K284" s="25">
        <f>MAX(0,J284-F284)</f>
        <v/>
      </c>
      <c r="L284" s="27">
        <f>MAX(0,D284-K284)</f>
        <v/>
      </c>
      <c r="M284" s="28">
        <f>IF(L284&lt;=0,0,MAX(0,ROUNDUP(-LN(1-L284*(E284/12)/Parametry!$C$7)/LN(1+E284/12),0)))</f>
        <v/>
      </c>
    </row>
    <row r="285" ht="18" customHeight="1">
      <c r="A285" s="13" t="n">
        <v>283</v>
      </c>
      <c r="B285" s="14">
        <f>DATE(Parametry!$C$12+INT((Parametry!$C$13+283-2)/12),MOD(Parametry!$C$13+283-2,12)+1,Parametry!$C$11)</f>
        <v/>
      </c>
      <c r="C285" s="15" t="n">
        <v>283</v>
      </c>
      <c r="D285" s="16">
        <f>L284</f>
        <v/>
      </c>
      <c r="E285" s="17">
        <f>IF(C285&lt;=Parametry!$C$9,Parametry!$C$8,Parametry!$C$10)</f>
        <v/>
      </c>
      <c r="F285" s="16">
        <f>D285*E285/12</f>
        <v/>
      </c>
      <c r="G285" s="16">
        <f>Parametry!$C$7</f>
        <v/>
      </c>
      <c r="H285" s="18" t="n"/>
      <c r="I285" s="19">
        <f>Parametry!$C$7</f>
        <v/>
      </c>
      <c r="J285" s="20">
        <f>G285+IF(ISNUMBER(H285),H285,0)</f>
        <v/>
      </c>
      <c r="K285" s="16">
        <f>MAX(0,J285-F285)</f>
        <v/>
      </c>
      <c r="L285" s="20">
        <f>MAX(0,D285-K285)</f>
        <v/>
      </c>
      <c r="M285" s="21">
        <f>IF(L285&lt;=0,0,MAX(0,ROUNDUP(-LN(1-L285*(E285/12)/Parametry!$C$7)/LN(1+E285/12),0)))</f>
        <v/>
      </c>
    </row>
    <row r="286" ht="18" customHeight="1">
      <c r="A286" s="22" t="n">
        <v>284</v>
      </c>
      <c r="B286" s="23">
        <f>DATE(Parametry!$C$12+INT((Parametry!$C$13+284-2)/12),MOD(Parametry!$C$13+284-2,12)+1,Parametry!$C$11)</f>
        <v/>
      </c>
      <c r="C286" s="24" t="n">
        <v>284</v>
      </c>
      <c r="D286" s="25">
        <f>L285</f>
        <v/>
      </c>
      <c r="E286" s="26">
        <f>IF(C286&lt;=Parametry!$C$9,Parametry!$C$8,Parametry!$C$10)</f>
        <v/>
      </c>
      <c r="F286" s="25">
        <f>D286*E286/12</f>
        <v/>
      </c>
      <c r="G286" s="25">
        <f>Parametry!$C$7</f>
        <v/>
      </c>
      <c r="H286" s="18" t="n"/>
      <c r="I286" s="19">
        <f>Parametry!$C$7</f>
        <v/>
      </c>
      <c r="J286" s="27">
        <f>G286+IF(ISNUMBER(H286),H286,0)</f>
        <v/>
      </c>
      <c r="K286" s="25">
        <f>MAX(0,J286-F286)</f>
        <v/>
      </c>
      <c r="L286" s="27">
        <f>MAX(0,D286-K286)</f>
        <v/>
      </c>
      <c r="M286" s="28">
        <f>IF(L286&lt;=0,0,MAX(0,ROUNDUP(-LN(1-L286*(E286/12)/Parametry!$C$7)/LN(1+E286/12),0)))</f>
        <v/>
      </c>
    </row>
    <row r="287" ht="18" customHeight="1">
      <c r="A287" s="13" t="n">
        <v>285</v>
      </c>
      <c r="B287" s="14">
        <f>DATE(Parametry!$C$12+INT((Parametry!$C$13+285-2)/12),MOD(Parametry!$C$13+285-2,12)+1,Parametry!$C$11)</f>
        <v/>
      </c>
      <c r="C287" s="15" t="n">
        <v>285</v>
      </c>
      <c r="D287" s="16">
        <f>L286</f>
        <v/>
      </c>
      <c r="E287" s="17">
        <f>IF(C287&lt;=Parametry!$C$9,Parametry!$C$8,Parametry!$C$10)</f>
        <v/>
      </c>
      <c r="F287" s="16">
        <f>D287*E287/12</f>
        <v/>
      </c>
      <c r="G287" s="16">
        <f>Parametry!$C$7</f>
        <v/>
      </c>
      <c r="H287" s="18" t="n"/>
      <c r="I287" s="19">
        <f>Parametry!$C$7</f>
        <v/>
      </c>
      <c r="J287" s="20">
        <f>G287+IF(ISNUMBER(H287),H287,0)</f>
        <v/>
      </c>
      <c r="K287" s="16">
        <f>MAX(0,J287-F287)</f>
        <v/>
      </c>
      <c r="L287" s="20">
        <f>MAX(0,D287-K287)</f>
        <v/>
      </c>
      <c r="M287" s="21">
        <f>IF(L287&lt;=0,0,MAX(0,ROUNDUP(-LN(1-L287*(E287/12)/Parametry!$C$7)/LN(1+E287/12),0)))</f>
        <v/>
      </c>
    </row>
    <row r="288" ht="18" customHeight="1">
      <c r="A288" s="22" t="n">
        <v>286</v>
      </c>
      <c r="B288" s="23">
        <f>DATE(Parametry!$C$12+INT((Parametry!$C$13+286-2)/12),MOD(Parametry!$C$13+286-2,12)+1,Parametry!$C$11)</f>
        <v/>
      </c>
      <c r="C288" s="24" t="n">
        <v>286</v>
      </c>
      <c r="D288" s="25">
        <f>L287</f>
        <v/>
      </c>
      <c r="E288" s="26">
        <f>IF(C288&lt;=Parametry!$C$9,Parametry!$C$8,Parametry!$C$10)</f>
        <v/>
      </c>
      <c r="F288" s="25">
        <f>D288*E288/12</f>
        <v/>
      </c>
      <c r="G288" s="25">
        <f>Parametry!$C$7</f>
        <v/>
      </c>
      <c r="H288" s="18" t="n"/>
      <c r="I288" s="19">
        <f>Parametry!$C$7</f>
        <v/>
      </c>
      <c r="J288" s="27">
        <f>G288+IF(ISNUMBER(H288),H288,0)</f>
        <v/>
      </c>
      <c r="K288" s="25">
        <f>MAX(0,J288-F288)</f>
        <v/>
      </c>
      <c r="L288" s="27">
        <f>MAX(0,D288-K288)</f>
        <v/>
      </c>
      <c r="M288" s="28">
        <f>IF(L288&lt;=0,0,MAX(0,ROUNDUP(-LN(1-L288*(E288/12)/Parametry!$C$7)/LN(1+E288/12),0)))</f>
        <v/>
      </c>
    </row>
    <row r="289" ht="18" customHeight="1">
      <c r="A289" s="13" t="n">
        <v>287</v>
      </c>
      <c r="B289" s="14">
        <f>DATE(Parametry!$C$12+INT((Parametry!$C$13+287-2)/12),MOD(Parametry!$C$13+287-2,12)+1,Parametry!$C$11)</f>
        <v/>
      </c>
      <c r="C289" s="15" t="n">
        <v>287</v>
      </c>
      <c r="D289" s="16">
        <f>L288</f>
        <v/>
      </c>
      <c r="E289" s="17">
        <f>IF(C289&lt;=Parametry!$C$9,Parametry!$C$8,Parametry!$C$10)</f>
        <v/>
      </c>
      <c r="F289" s="16">
        <f>D289*E289/12</f>
        <v/>
      </c>
      <c r="G289" s="16">
        <f>Parametry!$C$7</f>
        <v/>
      </c>
      <c r="H289" s="18" t="n"/>
      <c r="I289" s="19">
        <f>Parametry!$C$7</f>
        <v/>
      </c>
      <c r="J289" s="20">
        <f>G289+IF(ISNUMBER(H289),H289,0)</f>
        <v/>
      </c>
      <c r="K289" s="16">
        <f>MAX(0,J289-F289)</f>
        <v/>
      </c>
      <c r="L289" s="20">
        <f>MAX(0,D289-K289)</f>
        <v/>
      </c>
      <c r="M289" s="21">
        <f>IF(L289&lt;=0,0,MAX(0,ROUNDUP(-LN(1-L289*(E289/12)/Parametry!$C$7)/LN(1+E289/12),0)))</f>
        <v/>
      </c>
    </row>
    <row r="290" ht="18" customHeight="1">
      <c r="A290" s="22" t="n">
        <v>288</v>
      </c>
      <c r="B290" s="23">
        <f>DATE(Parametry!$C$12+INT((Parametry!$C$13+288-2)/12),MOD(Parametry!$C$13+288-2,12)+1,Parametry!$C$11)</f>
        <v/>
      </c>
      <c r="C290" s="24" t="n">
        <v>288</v>
      </c>
      <c r="D290" s="25">
        <f>L289</f>
        <v/>
      </c>
      <c r="E290" s="26">
        <f>IF(C290&lt;=Parametry!$C$9,Parametry!$C$8,Parametry!$C$10)</f>
        <v/>
      </c>
      <c r="F290" s="25">
        <f>D290*E290/12</f>
        <v/>
      </c>
      <c r="G290" s="25">
        <f>Parametry!$C$7</f>
        <v/>
      </c>
      <c r="H290" s="18" t="n"/>
      <c r="I290" s="19">
        <f>Parametry!$C$7</f>
        <v/>
      </c>
      <c r="J290" s="27">
        <f>G290+IF(ISNUMBER(H290),H290,0)</f>
        <v/>
      </c>
      <c r="K290" s="25">
        <f>MAX(0,J290-F290)</f>
        <v/>
      </c>
      <c r="L290" s="27">
        <f>MAX(0,D290-K290)</f>
        <v/>
      </c>
      <c r="M290" s="28">
        <f>IF(L290&lt;=0,0,MAX(0,ROUNDUP(-LN(1-L290*(E290/12)/Parametry!$C$7)/LN(1+E290/12),0)))</f>
        <v/>
      </c>
    </row>
    <row r="291" ht="18" customHeight="1">
      <c r="A291" s="13" t="n">
        <v>289</v>
      </c>
      <c r="B291" s="14">
        <f>DATE(Parametry!$C$12+INT((Parametry!$C$13+289-2)/12),MOD(Parametry!$C$13+289-2,12)+1,Parametry!$C$11)</f>
        <v/>
      </c>
      <c r="C291" s="15" t="n">
        <v>289</v>
      </c>
      <c r="D291" s="16">
        <f>L290</f>
        <v/>
      </c>
      <c r="E291" s="17">
        <f>IF(C291&lt;=Parametry!$C$9,Parametry!$C$8,Parametry!$C$10)</f>
        <v/>
      </c>
      <c r="F291" s="16">
        <f>D291*E291/12</f>
        <v/>
      </c>
      <c r="G291" s="16">
        <f>Parametry!$C$7</f>
        <v/>
      </c>
      <c r="H291" s="18" t="n"/>
      <c r="I291" s="19">
        <f>Parametry!$C$7</f>
        <v/>
      </c>
      <c r="J291" s="20">
        <f>G291+IF(ISNUMBER(H291),H291,0)</f>
        <v/>
      </c>
      <c r="K291" s="16">
        <f>MAX(0,J291-F291)</f>
        <v/>
      </c>
      <c r="L291" s="20">
        <f>MAX(0,D291-K291)</f>
        <v/>
      </c>
      <c r="M291" s="21">
        <f>IF(L291&lt;=0,0,MAX(0,ROUNDUP(-LN(1-L291*(E291/12)/Parametry!$C$7)/LN(1+E291/12),0)))</f>
        <v/>
      </c>
    </row>
    <row r="292" ht="18" customHeight="1">
      <c r="A292" s="22" t="n">
        <v>290</v>
      </c>
      <c r="B292" s="23">
        <f>DATE(Parametry!$C$12+INT((Parametry!$C$13+290-2)/12),MOD(Parametry!$C$13+290-2,12)+1,Parametry!$C$11)</f>
        <v/>
      </c>
      <c r="C292" s="24" t="n">
        <v>290</v>
      </c>
      <c r="D292" s="25">
        <f>L291</f>
        <v/>
      </c>
      <c r="E292" s="26">
        <f>IF(C292&lt;=Parametry!$C$9,Parametry!$C$8,Parametry!$C$10)</f>
        <v/>
      </c>
      <c r="F292" s="25">
        <f>D292*E292/12</f>
        <v/>
      </c>
      <c r="G292" s="25">
        <f>Parametry!$C$7</f>
        <v/>
      </c>
      <c r="H292" s="18" t="n"/>
      <c r="I292" s="19">
        <f>Parametry!$C$7</f>
        <v/>
      </c>
      <c r="J292" s="27">
        <f>G292+IF(ISNUMBER(H292),H292,0)</f>
        <v/>
      </c>
      <c r="K292" s="25">
        <f>MAX(0,J292-F292)</f>
        <v/>
      </c>
      <c r="L292" s="27">
        <f>MAX(0,D292-K292)</f>
        <v/>
      </c>
      <c r="M292" s="28">
        <f>IF(L292&lt;=0,0,MAX(0,ROUNDUP(-LN(1-L292*(E292/12)/Parametry!$C$7)/LN(1+E292/12),0)))</f>
        <v/>
      </c>
    </row>
    <row r="293" ht="18" customHeight="1">
      <c r="A293" s="13" t="n">
        <v>291</v>
      </c>
      <c r="B293" s="14">
        <f>DATE(Parametry!$C$12+INT((Parametry!$C$13+291-2)/12),MOD(Parametry!$C$13+291-2,12)+1,Parametry!$C$11)</f>
        <v/>
      </c>
      <c r="C293" s="15" t="n">
        <v>291</v>
      </c>
      <c r="D293" s="16">
        <f>L292</f>
        <v/>
      </c>
      <c r="E293" s="17">
        <f>IF(C293&lt;=Parametry!$C$9,Parametry!$C$8,Parametry!$C$10)</f>
        <v/>
      </c>
      <c r="F293" s="16">
        <f>D293*E293/12</f>
        <v/>
      </c>
      <c r="G293" s="16">
        <f>Parametry!$C$7</f>
        <v/>
      </c>
      <c r="H293" s="18" t="n"/>
      <c r="I293" s="19">
        <f>Parametry!$C$7</f>
        <v/>
      </c>
      <c r="J293" s="20">
        <f>G293+IF(ISNUMBER(H293),H293,0)</f>
        <v/>
      </c>
      <c r="K293" s="16">
        <f>MAX(0,J293-F293)</f>
        <v/>
      </c>
      <c r="L293" s="20">
        <f>MAX(0,D293-K293)</f>
        <v/>
      </c>
      <c r="M293" s="21">
        <f>IF(L293&lt;=0,0,MAX(0,ROUNDUP(-LN(1-L293*(E293/12)/Parametry!$C$7)/LN(1+E293/12),0)))</f>
        <v/>
      </c>
    </row>
    <row r="294" ht="18" customHeight="1">
      <c r="A294" s="22" t="n">
        <v>292</v>
      </c>
      <c r="B294" s="23">
        <f>DATE(Parametry!$C$12+INT((Parametry!$C$13+292-2)/12),MOD(Parametry!$C$13+292-2,12)+1,Parametry!$C$11)</f>
        <v/>
      </c>
      <c r="C294" s="24" t="n">
        <v>292</v>
      </c>
      <c r="D294" s="25">
        <f>L293</f>
        <v/>
      </c>
      <c r="E294" s="26">
        <f>IF(C294&lt;=Parametry!$C$9,Parametry!$C$8,Parametry!$C$10)</f>
        <v/>
      </c>
      <c r="F294" s="25">
        <f>D294*E294/12</f>
        <v/>
      </c>
      <c r="G294" s="25">
        <f>Parametry!$C$7</f>
        <v/>
      </c>
      <c r="H294" s="18" t="n"/>
      <c r="I294" s="19">
        <f>Parametry!$C$7</f>
        <v/>
      </c>
      <c r="J294" s="27">
        <f>G294+IF(ISNUMBER(H294),H294,0)</f>
        <v/>
      </c>
      <c r="K294" s="25">
        <f>MAX(0,J294-F294)</f>
        <v/>
      </c>
      <c r="L294" s="27">
        <f>MAX(0,D294-K294)</f>
        <v/>
      </c>
      <c r="M294" s="28">
        <f>IF(L294&lt;=0,0,MAX(0,ROUNDUP(-LN(1-L294*(E294/12)/Parametry!$C$7)/LN(1+E294/12),0)))</f>
        <v/>
      </c>
    </row>
    <row r="295" ht="18" customHeight="1">
      <c r="A295" s="13" t="n">
        <v>293</v>
      </c>
      <c r="B295" s="14">
        <f>DATE(Parametry!$C$12+INT((Parametry!$C$13+293-2)/12),MOD(Parametry!$C$13+293-2,12)+1,Parametry!$C$11)</f>
        <v/>
      </c>
      <c r="C295" s="15" t="n">
        <v>293</v>
      </c>
      <c r="D295" s="16">
        <f>L294</f>
        <v/>
      </c>
      <c r="E295" s="17">
        <f>IF(C295&lt;=Parametry!$C$9,Parametry!$C$8,Parametry!$C$10)</f>
        <v/>
      </c>
      <c r="F295" s="16">
        <f>D295*E295/12</f>
        <v/>
      </c>
      <c r="G295" s="16">
        <f>Parametry!$C$7</f>
        <v/>
      </c>
      <c r="H295" s="18" t="n"/>
      <c r="I295" s="19">
        <f>Parametry!$C$7</f>
        <v/>
      </c>
      <c r="J295" s="20">
        <f>G295+IF(ISNUMBER(H295),H295,0)</f>
        <v/>
      </c>
      <c r="K295" s="16">
        <f>MAX(0,J295-F295)</f>
        <v/>
      </c>
      <c r="L295" s="20">
        <f>MAX(0,D295-K295)</f>
        <v/>
      </c>
      <c r="M295" s="21">
        <f>IF(L295&lt;=0,0,MAX(0,ROUNDUP(-LN(1-L295*(E295/12)/Parametry!$C$7)/LN(1+E295/12),0)))</f>
        <v/>
      </c>
    </row>
    <row r="296" ht="18" customHeight="1">
      <c r="A296" s="22" t="n">
        <v>294</v>
      </c>
      <c r="B296" s="23">
        <f>DATE(Parametry!$C$12+INT((Parametry!$C$13+294-2)/12),MOD(Parametry!$C$13+294-2,12)+1,Parametry!$C$11)</f>
        <v/>
      </c>
      <c r="C296" s="24" t="n">
        <v>294</v>
      </c>
      <c r="D296" s="25">
        <f>L295</f>
        <v/>
      </c>
      <c r="E296" s="26">
        <f>IF(C296&lt;=Parametry!$C$9,Parametry!$C$8,Parametry!$C$10)</f>
        <v/>
      </c>
      <c r="F296" s="25">
        <f>D296*E296/12</f>
        <v/>
      </c>
      <c r="G296" s="25">
        <f>Parametry!$C$7</f>
        <v/>
      </c>
      <c r="H296" s="18" t="n"/>
      <c r="I296" s="19">
        <f>Parametry!$C$7</f>
        <v/>
      </c>
      <c r="J296" s="27">
        <f>G296+IF(ISNUMBER(H296),H296,0)</f>
        <v/>
      </c>
      <c r="K296" s="25">
        <f>MAX(0,J296-F296)</f>
        <v/>
      </c>
      <c r="L296" s="27">
        <f>MAX(0,D296-K296)</f>
        <v/>
      </c>
      <c r="M296" s="28">
        <f>IF(L296&lt;=0,0,MAX(0,ROUNDUP(-LN(1-L296*(E296/12)/Parametry!$C$7)/LN(1+E296/12),0)))</f>
        <v/>
      </c>
    </row>
    <row r="297" ht="18" customHeight="1">
      <c r="A297" s="13" t="n">
        <v>295</v>
      </c>
      <c r="B297" s="14">
        <f>DATE(Parametry!$C$12+INT((Parametry!$C$13+295-2)/12),MOD(Parametry!$C$13+295-2,12)+1,Parametry!$C$11)</f>
        <v/>
      </c>
      <c r="C297" s="15" t="n">
        <v>295</v>
      </c>
      <c r="D297" s="16">
        <f>L296</f>
        <v/>
      </c>
      <c r="E297" s="17">
        <f>IF(C297&lt;=Parametry!$C$9,Parametry!$C$8,Parametry!$C$10)</f>
        <v/>
      </c>
      <c r="F297" s="16">
        <f>D297*E297/12</f>
        <v/>
      </c>
      <c r="G297" s="16">
        <f>Parametry!$C$7</f>
        <v/>
      </c>
      <c r="H297" s="18" t="n"/>
      <c r="I297" s="19">
        <f>Parametry!$C$7</f>
        <v/>
      </c>
      <c r="J297" s="20">
        <f>G297+IF(ISNUMBER(H297),H297,0)</f>
        <v/>
      </c>
      <c r="K297" s="16">
        <f>MAX(0,J297-F297)</f>
        <v/>
      </c>
      <c r="L297" s="20">
        <f>MAX(0,D297-K297)</f>
        <v/>
      </c>
      <c r="M297" s="21">
        <f>IF(L297&lt;=0,0,MAX(0,ROUNDUP(-LN(1-L297*(E297/12)/Parametry!$C$7)/LN(1+E297/12),0)))</f>
        <v/>
      </c>
    </row>
    <row r="298" ht="18" customHeight="1">
      <c r="A298" s="22" t="n">
        <v>296</v>
      </c>
      <c r="B298" s="23">
        <f>DATE(Parametry!$C$12+INT((Parametry!$C$13+296-2)/12),MOD(Parametry!$C$13+296-2,12)+1,Parametry!$C$11)</f>
        <v/>
      </c>
      <c r="C298" s="24" t="n">
        <v>296</v>
      </c>
      <c r="D298" s="25">
        <f>L297</f>
        <v/>
      </c>
      <c r="E298" s="26">
        <f>IF(C298&lt;=Parametry!$C$9,Parametry!$C$8,Parametry!$C$10)</f>
        <v/>
      </c>
      <c r="F298" s="25">
        <f>D298*E298/12</f>
        <v/>
      </c>
      <c r="G298" s="25">
        <f>Parametry!$C$7</f>
        <v/>
      </c>
      <c r="H298" s="18" t="n"/>
      <c r="I298" s="19">
        <f>Parametry!$C$7</f>
        <v/>
      </c>
      <c r="J298" s="27">
        <f>G298+IF(ISNUMBER(H298),H298,0)</f>
        <v/>
      </c>
      <c r="K298" s="25">
        <f>MAX(0,J298-F298)</f>
        <v/>
      </c>
      <c r="L298" s="27">
        <f>MAX(0,D298-K298)</f>
        <v/>
      </c>
      <c r="M298" s="28">
        <f>IF(L298&lt;=0,0,MAX(0,ROUNDUP(-LN(1-L298*(E298/12)/Parametry!$C$7)/LN(1+E298/12),0)))</f>
        <v/>
      </c>
    </row>
    <row r="299" ht="18" customHeight="1">
      <c r="A299" s="13" t="n">
        <v>297</v>
      </c>
      <c r="B299" s="14">
        <f>DATE(Parametry!$C$12+INT((Parametry!$C$13+297-2)/12),MOD(Parametry!$C$13+297-2,12)+1,Parametry!$C$11)</f>
        <v/>
      </c>
      <c r="C299" s="15" t="n">
        <v>297</v>
      </c>
      <c r="D299" s="16">
        <f>L298</f>
        <v/>
      </c>
      <c r="E299" s="17">
        <f>IF(C299&lt;=Parametry!$C$9,Parametry!$C$8,Parametry!$C$10)</f>
        <v/>
      </c>
      <c r="F299" s="16">
        <f>D299*E299/12</f>
        <v/>
      </c>
      <c r="G299" s="16">
        <f>Parametry!$C$7</f>
        <v/>
      </c>
      <c r="H299" s="18" t="n"/>
      <c r="I299" s="19">
        <f>Parametry!$C$7</f>
        <v/>
      </c>
      <c r="J299" s="20">
        <f>G299+IF(ISNUMBER(H299),H299,0)</f>
        <v/>
      </c>
      <c r="K299" s="16">
        <f>MAX(0,J299-F299)</f>
        <v/>
      </c>
      <c r="L299" s="20">
        <f>MAX(0,D299-K299)</f>
        <v/>
      </c>
      <c r="M299" s="21">
        <f>IF(L299&lt;=0,0,MAX(0,ROUNDUP(-LN(1-L299*(E299/12)/Parametry!$C$7)/LN(1+E299/12),0)))</f>
        <v/>
      </c>
    </row>
    <row r="300" ht="18" customHeight="1">
      <c r="A300" s="22" t="n">
        <v>298</v>
      </c>
      <c r="B300" s="23">
        <f>DATE(Parametry!$C$12+INT((Parametry!$C$13+298-2)/12),MOD(Parametry!$C$13+298-2,12)+1,Parametry!$C$11)</f>
        <v/>
      </c>
      <c r="C300" s="24" t="n">
        <v>298</v>
      </c>
      <c r="D300" s="25">
        <f>L299</f>
        <v/>
      </c>
      <c r="E300" s="26">
        <f>IF(C300&lt;=Parametry!$C$9,Parametry!$C$8,Parametry!$C$10)</f>
        <v/>
      </c>
      <c r="F300" s="25">
        <f>D300*E300/12</f>
        <v/>
      </c>
      <c r="G300" s="25">
        <f>Parametry!$C$7</f>
        <v/>
      </c>
      <c r="H300" s="18" t="n"/>
      <c r="I300" s="19">
        <f>Parametry!$C$7</f>
        <v/>
      </c>
      <c r="J300" s="27">
        <f>G300+IF(ISNUMBER(H300),H300,0)</f>
        <v/>
      </c>
      <c r="K300" s="25">
        <f>MAX(0,J300-F300)</f>
        <v/>
      </c>
      <c r="L300" s="27">
        <f>MAX(0,D300-K300)</f>
        <v/>
      </c>
      <c r="M300" s="28">
        <f>IF(L300&lt;=0,0,MAX(0,ROUNDUP(-LN(1-L300*(E300/12)/Parametry!$C$7)/LN(1+E300/12),0)))</f>
        <v/>
      </c>
    </row>
    <row r="301" ht="18" customHeight="1">
      <c r="A301" s="13" t="n">
        <v>299</v>
      </c>
      <c r="B301" s="14">
        <f>DATE(Parametry!$C$12+INT((Parametry!$C$13+299-2)/12),MOD(Parametry!$C$13+299-2,12)+1,Parametry!$C$11)</f>
        <v/>
      </c>
      <c r="C301" s="15" t="n">
        <v>299</v>
      </c>
      <c r="D301" s="16">
        <f>L300</f>
        <v/>
      </c>
      <c r="E301" s="17">
        <f>IF(C301&lt;=Parametry!$C$9,Parametry!$C$8,Parametry!$C$10)</f>
        <v/>
      </c>
      <c r="F301" s="16">
        <f>D301*E301/12</f>
        <v/>
      </c>
      <c r="G301" s="16">
        <f>Parametry!$C$7</f>
        <v/>
      </c>
      <c r="H301" s="18" t="n"/>
      <c r="I301" s="19">
        <f>Parametry!$C$7</f>
        <v/>
      </c>
      <c r="J301" s="20">
        <f>G301+IF(ISNUMBER(H301),H301,0)</f>
        <v/>
      </c>
      <c r="K301" s="16">
        <f>MAX(0,J301-F301)</f>
        <v/>
      </c>
      <c r="L301" s="20">
        <f>MAX(0,D301-K301)</f>
        <v/>
      </c>
      <c r="M301" s="21">
        <f>IF(L301&lt;=0,0,MAX(0,ROUNDUP(-LN(1-L301*(E301/12)/Parametry!$C$7)/LN(1+E301/12),0)))</f>
        <v/>
      </c>
    </row>
    <row r="302" ht="18" customHeight="1">
      <c r="A302" s="22" t="n">
        <v>300</v>
      </c>
      <c r="B302" s="23">
        <f>DATE(Parametry!$C$12+INT((Parametry!$C$13+300-2)/12),MOD(Parametry!$C$13+300-2,12)+1,Parametry!$C$11)</f>
        <v/>
      </c>
      <c r="C302" s="24" t="n">
        <v>300</v>
      </c>
      <c r="D302" s="25">
        <f>L301</f>
        <v/>
      </c>
      <c r="E302" s="26">
        <f>IF(C302&lt;=Parametry!$C$9,Parametry!$C$8,Parametry!$C$10)</f>
        <v/>
      </c>
      <c r="F302" s="25">
        <f>D302*E302/12</f>
        <v/>
      </c>
      <c r="G302" s="25">
        <f>Parametry!$C$7</f>
        <v/>
      </c>
      <c r="H302" s="18" t="n"/>
      <c r="I302" s="19">
        <f>Parametry!$C$7</f>
        <v/>
      </c>
      <c r="J302" s="27">
        <f>G302+IF(ISNUMBER(H302),H302,0)</f>
        <v/>
      </c>
      <c r="K302" s="25">
        <f>MAX(0,J302-F302)</f>
        <v/>
      </c>
      <c r="L302" s="27">
        <f>MAX(0,D302-K302)</f>
        <v/>
      </c>
      <c r="M302" s="28">
        <f>IF(L302&lt;=0,0,MAX(0,ROUNDUP(-LN(1-L302*(E302/12)/Parametry!$C$7)/LN(1+E302/12),0)))</f>
        <v/>
      </c>
    </row>
    <row r="303" ht="18" customHeight="1">
      <c r="A303" s="13" t="n">
        <v>301</v>
      </c>
      <c r="B303" s="14">
        <f>DATE(Parametry!$C$12+INT((Parametry!$C$13+301-2)/12),MOD(Parametry!$C$13+301-2,12)+1,Parametry!$C$11)</f>
        <v/>
      </c>
      <c r="C303" s="15" t="n">
        <v>301</v>
      </c>
      <c r="D303" s="16">
        <f>L302</f>
        <v/>
      </c>
      <c r="E303" s="17">
        <f>IF(C303&lt;=Parametry!$C$9,Parametry!$C$8,Parametry!$C$10)</f>
        <v/>
      </c>
      <c r="F303" s="16">
        <f>D303*E303/12</f>
        <v/>
      </c>
      <c r="G303" s="16">
        <f>Parametry!$C$7</f>
        <v/>
      </c>
      <c r="H303" s="18" t="n"/>
      <c r="I303" s="19">
        <f>Parametry!$C$7</f>
        <v/>
      </c>
      <c r="J303" s="20">
        <f>G303+IF(ISNUMBER(H303),H303,0)</f>
        <v/>
      </c>
      <c r="K303" s="16">
        <f>MAX(0,J303-F303)</f>
        <v/>
      </c>
      <c r="L303" s="20">
        <f>MAX(0,D303-K303)</f>
        <v/>
      </c>
      <c r="M303" s="21">
        <f>IF(L303&lt;=0,0,MAX(0,ROUNDUP(-LN(1-L303*(E303/12)/Parametry!$C$7)/LN(1+E303/12),0)))</f>
        <v/>
      </c>
    </row>
    <row r="304" ht="18" customHeight="1">
      <c r="A304" s="22" t="n">
        <v>302</v>
      </c>
      <c r="B304" s="23">
        <f>DATE(Parametry!$C$12+INT((Parametry!$C$13+302-2)/12),MOD(Parametry!$C$13+302-2,12)+1,Parametry!$C$11)</f>
        <v/>
      </c>
      <c r="C304" s="24" t="n">
        <v>302</v>
      </c>
      <c r="D304" s="25">
        <f>L303</f>
        <v/>
      </c>
      <c r="E304" s="26">
        <f>IF(C304&lt;=Parametry!$C$9,Parametry!$C$8,Parametry!$C$10)</f>
        <v/>
      </c>
      <c r="F304" s="25">
        <f>D304*E304/12</f>
        <v/>
      </c>
      <c r="G304" s="25">
        <f>Parametry!$C$7</f>
        <v/>
      </c>
      <c r="H304" s="18" t="n"/>
      <c r="I304" s="19">
        <f>Parametry!$C$7</f>
        <v/>
      </c>
      <c r="J304" s="27">
        <f>G304+IF(ISNUMBER(H304),H304,0)</f>
        <v/>
      </c>
      <c r="K304" s="25">
        <f>MAX(0,J304-F304)</f>
        <v/>
      </c>
      <c r="L304" s="27">
        <f>MAX(0,D304-K304)</f>
        <v/>
      </c>
      <c r="M304" s="28">
        <f>IF(L304&lt;=0,0,MAX(0,ROUNDUP(-LN(1-L304*(E304/12)/Parametry!$C$7)/LN(1+E304/12),0)))</f>
        <v/>
      </c>
    </row>
    <row r="305" ht="18" customHeight="1">
      <c r="A305" s="13" t="n">
        <v>303</v>
      </c>
      <c r="B305" s="14">
        <f>DATE(Parametry!$C$12+INT((Parametry!$C$13+303-2)/12),MOD(Parametry!$C$13+303-2,12)+1,Parametry!$C$11)</f>
        <v/>
      </c>
      <c r="C305" s="15" t="n">
        <v>303</v>
      </c>
      <c r="D305" s="16">
        <f>L304</f>
        <v/>
      </c>
      <c r="E305" s="17">
        <f>IF(C305&lt;=Parametry!$C$9,Parametry!$C$8,Parametry!$C$10)</f>
        <v/>
      </c>
      <c r="F305" s="16">
        <f>D305*E305/12</f>
        <v/>
      </c>
      <c r="G305" s="16">
        <f>Parametry!$C$7</f>
        <v/>
      </c>
      <c r="H305" s="18" t="n"/>
      <c r="I305" s="19">
        <f>Parametry!$C$7</f>
        <v/>
      </c>
      <c r="J305" s="20">
        <f>G305+IF(ISNUMBER(H305),H305,0)</f>
        <v/>
      </c>
      <c r="K305" s="16">
        <f>MAX(0,J305-F305)</f>
        <v/>
      </c>
      <c r="L305" s="20">
        <f>MAX(0,D305-K305)</f>
        <v/>
      </c>
      <c r="M305" s="21">
        <f>IF(L305&lt;=0,0,MAX(0,ROUNDUP(-LN(1-L305*(E305/12)/Parametry!$C$7)/LN(1+E305/12),0)))</f>
        <v/>
      </c>
    </row>
    <row r="306" ht="18" customHeight="1">
      <c r="A306" s="22" t="n">
        <v>304</v>
      </c>
      <c r="B306" s="23">
        <f>DATE(Parametry!$C$12+INT((Parametry!$C$13+304-2)/12),MOD(Parametry!$C$13+304-2,12)+1,Parametry!$C$11)</f>
        <v/>
      </c>
      <c r="C306" s="24" t="n">
        <v>304</v>
      </c>
      <c r="D306" s="25">
        <f>L305</f>
        <v/>
      </c>
      <c r="E306" s="26">
        <f>IF(C306&lt;=Parametry!$C$9,Parametry!$C$8,Parametry!$C$10)</f>
        <v/>
      </c>
      <c r="F306" s="25">
        <f>D306*E306/12</f>
        <v/>
      </c>
      <c r="G306" s="25">
        <f>Parametry!$C$7</f>
        <v/>
      </c>
      <c r="H306" s="18" t="n"/>
      <c r="I306" s="19">
        <f>Parametry!$C$7</f>
        <v/>
      </c>
      <c r="J306" s="27">
        <f>G306+IF(ISNUMBER(H306),H306,0)</f>
        <v/>
      </c>
      <c r="K306" s="25">
        <f>MAX(0,J306-F306)</f>
        <v/>
      </c>
      <c r="L306" s="27">
        <f>MAX(0,D306-K306)</f>
        <v/>
      </c>
      <c r="M306" s="28">
        <f>IF(L306&lt;=0,0,MAX(0,ROUNDUP(-LN(1-L306*(E306/12)/Parametry!$C$7)/LN(1+E306/12),0)))</f>
        <v/>
      </c>
    </row>
    <row r="307" ht="18" customHeight="1">
      <c r="A307" s="13" t="n">
        <v>305</v>
      </c>
      <c r="B307" s="14">
        <f>DATE(Parametry!$C$12+INT((Parametry!$C$13+305-2)/12),MOD(Parametry!$C$13+305-2,12)+1,Parametry!$C$11)</f>
        <v/>
      </c>
      <c r="C307" s="15" t="n">
        <v>305</v>
      </c>
      <c r="D307" s="16">
        <f>L306</f>
        <v/>
      </c>
      <c r="E307" s="17">
        <f>IF(C307&lt;=Parametry!$C$9,Parametry!$C$8,Parametry!$C$10)</f>
        <v/>
      </c>
      <c r="F307" s="16">
        <f>D307*E307/12</f>
        <v/>
      </c>
      <c r="G307" s="16">
        <f>Parametry!$C$7</f>
        <v/>
      </c>
      <c r="H307" s="18" t="n"/>
      <c r="I307" s="19">
        <f>Parametry!$C$7</f>
        <v/>
      </c>
      <c r="J307" s="20">
        <f>G307+IF(ISNUMBER(H307),H307,0)</f>
        <v/>
      </c>
      <c r="K307" s="16">
        <f>MAX(0,J307-F307)</f>
        <v/>
      </c>
      <c r="L307" s="20">
        <f>MAX(0,D307-K307)</f>
        <v/>
      </c>
      <c r="M307" s="21">
        <f>IF(L307&lt;=0,0,MAX(0,ROUNDUP(-LN(1-L307*(E307/12)/Parametry!$C$7)/LN(1+E307/12),0)))</f>
        <v/>
      </c>
    </row>
    <row r="308" ht="18" customHeight="1">
      <c r="A308" s="22" t="n">
        <v>306</v>
      </c>
      <c r="B308" s="23">
        <f>DATE(Parametry!$C$12+INT((Parametry!$C$13+306-2)/12),MOD(Parametry!$C$13+306-2,12)+1,Parametry!$C$11)</f>
        <v/>
      </c>
      <c r="C308" s="24" t="n">
        <v>306</v>
      </c>
      <c r="D308" s="25">
        <f>L307</f>
        <v/>
      </c>
      <c r="E308" s="26">
        <f>IF(C308&lt;=Parametry!$C$9,Parametry!$C$8,Parametry!$C$10)</f>
        <v/>
      </c>
      <c r="F308" s="25">
        <f>D308*E308/12</f>
        <v/>
      </c>
      <c r="G308" s="25">
        <f>Parametry!$C$7</f>
        <v/>
      </c>
      <c r="H308" s="18" t="n"/>
      <c r="I308" s="19">
        <f>Parametry!$C$7</f>
        <v/>
      </c>
      <c r="J308" s="27">
        <f>G308+IF(ISNUMBER(H308),H308,0)</f>
        <v/>
      </c>
      <c r="K308" s="25">
        <f>MAX(0,J308-F308)</f>
        <v/>
      </c>
      <c r="L308" s="27">
        <f>MAX(0,D308-K308)</f>
        <v/>
      </c>
      <c r="M308" s="28">
        <f>IF(L308&lt;=0,0,MAX(0,ROUNDUP(-LN(1-L308*(E308/12)/Parametry!$C$7)/LN(1+E308/12),0)))</f>
        <v/>
      </c>
    </row>
    <row r="309" ht="18" customHeight="1">
      <c r="A309" s="13" t="n">
        <v>307</v>
      </c>
      <c r="B309" s="14">
        <f>DATE(Parametry!$C$12+INT((Parametry!$C$13+307-2)/12),MOD(Parametry!$C$13+307-2,12)+1,Parametry!$C$11)</f>
        <v/>
      </c>
      <c r="C309" s="15" t="n">
        <v>307</v>
      </c>
      <c r="D309" s="16">
        <f>L308</f>
        <v/>
      </c>
      <c r="E309" s="17">
        <f>IF(C309&lt;=Parametry!$C$9,Parametry!$C$8,Parametry!$C$10)</f>
        <v/>
      </c>
      <c r="F309" s="16">
        <f>D309*E309/12</f>
        <v/>
      </c>
      <c r="G309" s="16">
        <f>Parametry!$C$7</f>
        <v/>
      </c>
      <c r="H309" s="18" t="n"/>
      <c r="I309" s="19">
        <f>Parametry!$C$7</f>
        <v/>
      </c>
      <c r="J309" s="20">
        <f>G309+IF(ISNUMBER(H309),H309,0)</f>
        <v/>
      </c>
      <c r="K309" s="16">
        <f>MAX(0,J309-F309)</f>
        <v/>
      </c>
      <c r="L309" s="20">
        <f>MAX(0,D309-K309)</f>
        <v/>
      </c>
      <c r="M309" s="21">
        <f>IF(L309&lt;=0,0,MAX(0,ROUNDUP(-LN(1-L309*(E309/12)/Parametry!$C$7)/LN(1+E309/12),0)))</f>
        <v/>
      </c>
    </row>
    <row r="310" ht="18" customHeight="1">
      <c r="A310" s="22" t="n">
        <v>308</v>
      </c>
      <c r="B310" s="23">
        <f>DATE(Parametry!$C$12+INT((Parametry!$C$13+308-2)/12),MOD(Parametry!$C$13+308-2,12)+1,Parametry!$C$11)</f>
        <v/>
      </c>
      <c r="C310" s="24" t="n">
        <v>308</v>
      </c>
      <c r="D310" s="25">
        <f>L309</f>
        <v/>
      </c>
      <c r="E310" s="26">
        <f>IF(C310&lt;=Parametry!$C$9,Parametry!$C$8,Parametry!$C$10)</f>
        <v/>
      </c>
      <c r="F310" s="25">
        <f>D310*E310/12</f>
        <v/>
      </c>
      <c r="G310" s="25">
        <f>Parametry!$C$7</f>
        <v/>
      </c>
      <c r="H310" s="18" t="n"/>
      <c r="I310" s="19">
        <f>Parametry!$C$7</f>
        <v/>
      </c>
      <c r="J310" s="27">
        <f>G310+IF(ISNUMBER(H310),H310,0)</f>
        <v/>
      </c>
      <c r="K310" s="25">
        <f>MAX(0,J310-F310)</f>
        <v/>
      </c>
      <c r="L310" s="27">
        <f>MAX(0,D310-K310)</f>
        <v/>
      </c>
      <c r="M310" s="28">
        <f>IF(L310&lt;=0,0,MAX(0,ROUNDUP(-LN(1-L310*(E310/12)/Parametry!$C$7)/LN(1+E310/12),0)))</f>
        <v/>
      </c>
    </row>
    <row r="311" ht="18" customHeight="1">
      <c r="A311" s="13" t="n">
        <v>309</v>
      </c>
      <c r="B311" s="14">
        <f>DATE(Parametry!$C$12+INT((Parametry!$C$13+309-2)/12),MOD(Parametry!$C$13+309-2,12)+1,Parametry!$C$11)</f>
        <v/>
      </c>
      <c r="C311" s="15" t="n">
        <v>309</v>
      </c>
      <c r="D311" s="16">
        <f>L310</f>
        <v/>
      </c>
      <c r="E311" s="17">
        <f>IF(C311&lt;=Parametry!$C$9,Parametry!$C$8,Parametry!$C$10)</f>
        <v/>
      </c>
      <c r="F311" s="16">
        <f>D311*E311/12</f>
        <v/>
      </c>
      <c r="G311" s="16">
        <f>Parametry!$C$7</f>
        <v/>
      </c>
      <c r="H311" s="18" t="n"/>
      <c r="I311" s="19">
        <f>Parametry!$C$7</f>
        <v/>
      </c>
      <c r="J311" s="20">
        <f>G311+IF(ISNUMBER(H311),H311,0)</f>
        <v/>
      </c>
      <c r="K311" s="16">
        <f>MAX(0,J311-F311)</f>
        <v/>
      </c>
      <c r="L311" s="20">
        <f>MAX(0,D311-K311)</f>
        <v/>
      </c>
      <c r="M311" s="21">
        <f>IF(L311&lt;=0,0,MAX(0,ROUNDUP(-LN(1-L311*(E311/12)/Parametry!$C$7)/LN(1+E311/12),0)))</f>
        <v/>
      </c>
    </row>
    <row r="312" ht="18" customHeight="1">
      <c r="A312" s="22" t="n">
        <v>310</v>
      </c>
      <c r="B312" s="23">
        <f>DATE(Parametry!$C$12+INT((Parametry!$C$13+310-2)/12),MOD(Parametry!$C$13+310-2,12)+1,Parametry!$C$11)</f>
        <v/>
      </c>
      <c r="C312" s="24" t="n">
        <v>310</v>
      </c>
      <c r="D312" s="25">
        <f>L311</f>
        <v/>
      </c>
      <c r="E312" s="26">
        <f>IF(C312&lt;=Parametry!$C$9,Parametry!$C$8,Parametry!$C$10)</f>
        <v/>
      </c>
      <c r="F312" s="25">
        <f>D312*E312/12</f>
        <v/>
      </c>
      <c r="G312" s="25">
        <f>Parametry!$C$7</f>
        <v/>
      </c>
      <c r="H312" s="18" t="n"/>
      <c r="I312" s="19">
        <f>Parametry!$C$7</f>
        <v/>
      </c>
      <c r="J312" s="27">
        <f>G312+IF(ISNUMBER(H312),H312,0)</f>
        <v/>
      </c>
      <c r="K312" s="25">
        <f>MAX(0,J312-F312)</f>
        <v/>
      </c>
      <c r="L312" s="27">
        <f>MAX(0,D312-K312)</f>
        <v/>
      </c>
      <c r="M312" s="28">
        <f>IF(L312&lt;=0,0,MAX(0,ROUNDUP(-LN(1-L312*(E312/12)/Parametry!$C$7)/LN(1+E312/12),0)))</f>
        <v/>
      </c>
    </row>
    <row r="313" ht="18" customHeight="1">
      <c r="A313" s="13" t="n">
        <v>311</v>
      </c>
      <c r="B313" s="14">
        <f>DATE(Parametry!$C$12+INT((Parametry!$C$13+311-2)/12),MOD(Parametry!$C$13+311-2,12)+1,Parametry!$C$11)</f>
        <v/>
      </c>
      <c r="C313" s="15" t="n">
        <v>311</v>
      </c>
      <c r="D313" s="16">
        <f>L312</f>
        <v/>
      </c>
      <c r="E313" s="17">
        <f>IF(C313&lt;=Parametry!$C$9,Parametry!$C$8,Parametry!$C$10)</f>
        <v/>
      </c>
      <c r="F313" s="16">
        <f>D313*E313/12</f>
        <v/>
      </c>
      <c r="G313" s="16">
        <f>Parametry!$C$7</f>
        <v/>
      </c>
      <c r="H313" s="18" t="n"/>
      <c r="I313" s="19">
        <f>Parametry!$C$7</f>
        <v/>
      </c>
      <c r="J313" s="20">
        <f>G313+IF(ISNUMBER(H313),H313,0)</f>
        <v/>
      </c>
      <c r="K313" s="16">
        <f>MAX(0,J313-F313)</f>
        <v/>
      </c>
      <c r="L313" s="20">
        <f>MAX(0,D313-K313)</f>
        <v/>
      </c>
      <c r="M313" s="21">
        <f>IF(L313&lt;=0,0,MAX(0,ROUNDUP(-LN(1-L313*(E313/12)/Parametry!$C$7)/LN(1+E313/12),0)))</f>
        <v/>
      </c>
    </row>
    <row r="314" ht="18" customHeight="1">
      <c r="A314" s="22" t="n">
        <v>312</v>
      </c>
      <c r="B314" s="23">
        <f>DATE(Parametry!$C$12+INT((Parametry!$C$13+312-2)/12),MOD(Parametry!$C$13+312-2,12)+1,Parametry!$C$11)</f>
        <v/>
      </c>
      <c r="C314" s="24" t="n">
        <v>312</v>
      </c>
      <c r="D314" s="25">
        <f>L313</f>
        <v/>
      </c>
      <c r="E314" s="26">
        <f>IF(C314&lt;=Parametry!$C$9,Parametry!$C$8,Parametry!$C$10)</f>
        <v/>
      </c>
      <c r="F314" s="25">
        <f>D314*E314/12</f>
        <v/>
      </c>
      <c r="G314" s="25">
        <f>Parametry!$C$7</f>
        <v/>
      </c>
      <c r="H314" s="18" t="n"/>
      <c r="I314" s="19">
        <f>Parametry!$C$7</f>
        <v/>
      </c>
      <c r="J314" s="27">
        <f>G314+IF(ISNUMBER(H314),H314,0)</f>
        <v/>
      </c>
      <c r="K314" s="25">
        <f>MAX(0,J314-F314)</f>
        <v/>
      </c>
      <c r="L314" s="27">
        <f>MAX(0,D314-K314)</f>
        <v/>
      </c>
      <c r="M314" s="28">
        <f>IF(L314&lt;=0,0,MAX(0,ROUNDUP(-LN(1-L314*(E314/12)/Parametry!$C$7)/LN(1+E314/12),0)))</f>
        <v/>
      </c>
    </row>
    <row r="315" ht="18" customHeight="1">
      <c r="A315" s="13" t="n">
        <v>313</v>
      </c>
      <c r="B315" s="14">
        <f>DATE(Parametry!$C$12+INT((Parametry!$C$13+313-2)/12),MOD(Parametry!$C$13+313-2,12)+1,Parametry!$C$11)</f>
        <v/>
      </c>
      <c r="C315" s="15" t="n">
        <v>313</v>
      </c>
      <c r="D315" s="16">
        <f>L314</f>
        <v/>
      </c>
      <c r="E315" s="17">
        <f>IF(C315&lt;=Parametry!$C$9,Parametry!$C$8,Parametry!$C$10)</f>
        <v/>
      </c>
      <c r="F315" s="16">
        <f>D315*E315/12</f>
        <v/>
      </c>
      <c r="G315" s="16">
        <f>Parametry!$C$7</f>
        <v/>
      </c>
      <c r="H315" s="18" t="n"/>
      <c r="I315" s="19">
        <f>Parametry!$C$7</f>
        <v/>
      </c>
      <c r="J315" s="20">
        <f>G315+IF(ISNUMBER(H315),H315,0)</f>
        <v/>
      </c>
      <c r="K315" s="16">
        <f>MAX(0,J315-F315)</f>
        <v/>
      </c>
      <c r="L315" s="20">
        <f>MAX(0,D315-K315)</f>
        <v/>
      </c>
      <c r="M315" s="21">
        <f>IF(L315&lt;=0,0,MAX(0,ROUNDUP(-LN(1-L315*(E315/12)/Parametry!$C$7)/LN(1+E315/12),0)))</f>
        <v/>
      </c>
    </row>
    <row r="316" ht="18" customHeight="1">
      <c r="A316" s="22" t="n">
        <v>314</v>
      </c>
      <c r="B316" s="23">
        <f>DATE(Parametry!$C$12+INT((Parametry!$C$13+314-2)/12),MOD(Parametry!$C$13+314-2,12)+1,Parametry!$C$11)</f>
        <v/>
      </c>
      <c r="C316" s="24" t="n">
        <v>314</v>
      </c>
      <c r="D316" s="25">
        <f>L315</f>
        <v/>
      </c>
      <c r="E316" s="26">
        <f>IF(C316&lt;=Parametry!$C$9,Parametry!$C$8,Parametry!$C$10)</f>
        <v/>
      </c>
      <c r="F316" s="25">
        <f>D316*E316/12</f>
        <v/>
      </c>
      <c r="G316" s="25">
        <f>Parametry!$C$7</f>
        <v/>
      </c>
      <c r="H316" s="18" t="n"/>
      <c r="I316" s="19">
        <f>Parametry!$C$7</f>
        <v/>
      </c>
      <c r="J316" s="27">
        <f>G316+IF(ISNUMBER(H316),H316,0)</f>
        <v/>
      </c>
      <c r="K316" s="25">
        <f>MAX(0,J316-F316)</f>
        <v/>
      </c>
      <c r="L316" s="27">
        <f>MAX(0,D316-K316)</f>
        <v/>
      </c>
      <c r="M316" s="28">
        <f>IF(L316&lt;=0,0,MAX(0,ROUNDUP(-LN(1-L316*(E316/12)/Parametry!$C$7)/LN(1+E316/12),0)))</f>
        <v/>
      </c>
    </row>
    <row r="317" ht="18" customHeight="1">
      <c r="A317" s="13" t="n">
        <v>315</v>
      </c>
      <c r="B317" s="14">
        <f>DATE(Parametry!$C$12+INT((Parametry!$C$13+315-2)/12),MOD(Parametry!$C$13+315-2,12)+1,Parametry!$C$11)</f>
        <v/>
      </c>
      <c r="C317" s="15" t="n">
        <v>315</v>
      </c>
      <c r="D317" s="16">
        <f>L316</f>
        <v/>
      </c>
      <c r="E317" s="17">
        <f>IF(C317&lt;=Parametry!$C$9,Parametry!$C$8,Parametry!$C$10)</f>
        <v/>
      </c>
      <c r="F317" s="16">
        <f>D317*E317/12</f>
        <v/>
      </c>
      <c r="G317" s="16">
        <f>Parametry!$C$7</f>
        <v/>
      </c>
      <c r="H317" s="18" t="n"/>
      <c r="I317" s="19">
        <f>Parametry!$C$7</f>
        <v/>
      </c>
      <c r="J317" s="20">
        <f>G317+IF(ISNUMBER(H317),H317,0)</f>
        <v/>
      </c>
      <c r="K317" s="16">
        <f>MAX(0,J317-F317)</f>
        <v/>
      </c>
      <c r="L317" s="20">
        <f>MAX(0,D317-K317)</f>
        <v/>
      </c>
      <c r="M317" s="21">
        <f>IF(L317&lt;=0,0,MAX(0,ROUNDUP(-LN(1-L317*(E317/12)/Parametry!$C$7)/LN(1+E317/12),0)))</f>
        <v/>
      </c>
    </row>
    <row r="318" ht="18" customHeight="1">
      <c r="A318" s="22" t="n">
        <v>316</v>
      </c>
      <c r="B318" s="23">
        <f>DATE(Parametry!$C$12+INT((Parametry!$C$13+316-2)/12),MOD(Parametry!$C$13+316-2,12)+1,Parametry!$C$11)</f>
        <v/>
      </c>
      <c r="C318" s="24" t="n">
        <v>316</v>
      </c>
      <c r="D318" s="25">
        <f>L317</f>
        <v/>
      </c>
      <c r="E318" s="26">
        <f>IF(C318&lt;=Parametry!$C$9,Parametry!$C$8,Parametry!$C$10)</f>
        <v/>
      </c>
      <c r="F318" s="25">
        <f>D318*E318/12</f>
        <v/>
      </c>
      <c r="G318" s="25">
        <f>Parametry!$C$7</f>
        <v/>
      </c>
      <c r="H318" s="18" t="n"/>
      <c r="I318" s="19">
        <f>Parametry!$C$7</f>
        <v/>
      </c>
      <c r="J318" s="27">
        <f>G318+IF(ISNUMBER(H318),H318,0)</f>
        <v/>
      </c>
      <c r="K318" s="25">
        <f>MAX(0,J318-F318)</f>
        <v/>
      </c>
      <c r="L318" s="27">
        <f>MAX(0,D318-K318)</f>
        <v/>
      </c>
      <c r="M318" s="28">
        <f>IF(L318&lt;=0,0,MAX(0,ROUNDUP(-LN(1-L318*(E318/12)/Parametry!$C$7)/LN(1+E318/12),0)))</f>
        <v/>
      </c>
    </row>
    <row r="319" ht="18" customHeight="1">
      <c r="A319" s="13" t="n">
        <v>317</v>
      </c>
      <c r="B319" s="14">
        <f>DATE(Parametry!$C$12+INT((Parametry!$C$13+317-2)/12),MOD(Parametry!$C$13+317-2,12)+1,Parametry!$C$11)</f>
        <v/>
      </c>
      <c r="C319" s="15" t="n">
        <v>317</v>
      </c>
      <c r="D319" s="16">
        <f>L318</f>
        <v/>
      </c>
      <c r="E319" s="17">
        <f>IF(C319&lt;=Parametry!$C$9,Parametry!$C$8,Parametry!$C$10)</f>
        <v/>
      </c>
      <c r="F319" s="16">
        <f>D319*E319/12</f>
        <v/>
      </c>
      <c r="G319" s="16">
        <f>Parametry!$C$7</f>
        <v/>
      </c>
      <c r="H319" s="18" t="n"/>
      <c r="I319" s="19">
        <f>Parametry!$C$7</f>
        <v/>
      </c>
      <c r="J319" s="20">
        <f>G319+IF(ISNUMBER(H319),H319,0)</f>
        <v/>
      </c>
      <c r="K319" s="16">
        <f>MAX(0,J319-F319)</f>
        <v/>
      </c>
      <c r="L319" s="20">
        <f>MAX(0,D319-K319)</f>
        <v/>
      </c>
      <c r="M319" s="21">
        <f>IF(L319&lt;=0,0,MAX(0,ROUNDUP(-LN(1-L319*(E319/12)/Parametry!$C$7)/LN(1+E319/12),0)))</f>
        <v/>
      </c>
    </row>
    <row r="320" ht="18" customHeight="1">
      <c r="A320" s="22" t="n">
        <v>318</v>
      </c>
      <c r="B320" s="23">
        <f>DATE(Parametry!$C$12+INT((Parametry!$C$13+318-2)/12),MOD(Parametry!$C$13+318-2,12)+1,Parametry!$C$11)</f>
        <v/>
      </c>
      <c r="C320" s="24" t="n">
        <v>318</v>
      </c>
      <c r="D320" s="25">
        <f>L319</f>
        <v/>
      </c>
      <c r="E320" s="26">
        <f>IF(C320&lt;=Parametry!$C$9,Parametry!$C$8,Parametry!$C$10)</f>
        <v/>
      </c>
      <c r="F320" s="25">
        <f>D320*E320/12</f>
        <v/>
      </c>
      <c r="G320" s="25">
        <f>Parametry!$C$7</f>
        <v/>
      </c>
      <c r="H320" s="18" t="n"/>
      <c r="I320" s="19">
        <f>Parametry!$C$7</f>
        <v/>
      </c>
      <c r="J320" s="27">
        <f>G320+IF(ISNUMBER(H320),H320,0)</f>
        <v/>
      </c>
      <c r="K320" s="25">
        <f>MAX(0,J320-F320)</f>
        <v/>
      </c>
      <c r="L320" s="27">
        <f>MAX(0,D320-K320)</f>
        <v/>
      </c>
      <c r="M320" s="28">
        <f>IF(L320&lt;=0,0,MAX(0,ROUNDUP(-LN(1-L320*(E320/12)/Parametry!$C$7)/LN(1+E320/12),0)))</f>
        <v/>
      </c>
    </row>
    <row r="321" ht="18" customHeight="1">
      <c r="A321" s="13" t="n">
        <v>319</v>
      </c>
      <c r="B321" s="14">
        <f>DATE(Parametry!$C$12+INT((Parametry!$C$13+319-2)/12),MOD(Parametry!$C$13+319-2,12)+1,Parametry!$C$11)</f>
        <v/>
      </c>
      <c r="C321" s="15" t="n">
        <v>319</v>
      </c>
      <c r="D321" s="16">
        <f>L320</f>
        <v/>
      </c>
      <c r="E321" s="17">
        <f>IF(C321&lt;=Parametry!$C$9,Parametry!$C$8,Parametry!$C$10)</f>
        <v/>
      </c>
      <c r="F321" s="16">
        <f>D321*E321/12</f>
        <v/>
      </c>
      <c r="G321" s="16">
        <f>Parametry!$C$7</f>
        <v/>
      </c>
      <c r="H321" s="18" t="n"/>
      <c r="I321" s="19">
        <f>Parametry!$C$7</f>
        <v/>
      </c>
      <c r="J321" s="20">
        <f>G321+IF(ISNUMBER(H321),H321,0)</f>
        <v/>
      </c>
      <c r="K321" s="16">
        <f>MAX(0,J321-F321)</f>
        <v/>
      </c>
      <c r="L321" s="20">
        <f>MAX(0,D321-K321)</f>
        <v/>
      </c>
      <c r="M321" s="21">
        <f>IF(L321&lt;=0,0,MAX(0,ROUNDUP(-LN(1-L321*(E321/12)/Parametry!$C$7)/LN(1+E321/12),0)))</f>
        <v/>
      </c>
    </row>
    <row r="322" ht="18" customHeight="1">
      <c r="A322" s="22" t="n">
        <v>320</v>
      </c>
      <c r="B322" s="23">
        <f>DATE(Parametry!$C$12+INT((Parametry!$C$13+320-2)/12),MOD(Parametry!$C$13+320-2,12)+1,Parametry!$C$11)</f>
        <v/>
      </c>
      <c r="C322" s="24" t="n">
        <v>320</v>
      </c>
      <c r="D322" s="25">
        <f>L321</f>
        <v/>
      </c>
      <c r="E322" s="26">
        <f>IF(C322&lt;=Parametry!$C$9,Parametry!$C$8,Parametry!$C$10)</f>
        <v/>
      </c>
      <c r="F322" s="25">
        <f>D322*E322/12</f>
        <v/>
      </c>
      <c r="G322" s="25">
        <f>Parametry!$C$7</f>
        <v/>
      </c>
      <c r="H322" s="18" t="n"/>
      <c r="I322" s="19">
        <f>Parametry!$C$7</f>
        <v/>
      </c>
      <c r="J322" s="27">
        <f>G322+IF(ISNUMBER(H322),H322,0)</f>
        <v/>
      </c>
      <c r="K322" s="25">
        <f>MAX(0,J322-F322)</f>
        <v/>
      </c>
      <c r="L322" s="27">
        <f>MAX(0,D322-K322)</f>
        <v/>
      </c>
      <c r="M322" s="28">
        <f>IF(L322&lt;=0,0,MAX(0,ROUNDUP(-LN(1-L322*(E322/12)/Parametry!$C$7)/LN(1+E322/12),0)))</f>
        <v/>
      </c>
    </row>
    <row r="323" ht="18" customHeight="1">
      <c r="A323" s="13" t="n">
        <v>321</v>
      </c>
      <c r="B323" s="14">
        <f>DATE(Parametry!$C$12+INT((Parametry!$C$13+321-2)/12),MOD(Parametry!$C$13+321-2,12)+1,Parametry!$C$11)</f>
        <v/>
      </c>
      <c r="C323" s="15" t="n">
        <v>321</v>
      </c>
      <c r="D323" s="16">
        <f>L322</f>
        <v/>
      </c>
      <c r="E323" s="17">
        <f>IF(C323&lt;=Parametry!$C$9,Parametry!$C$8,Parametry!$C$10)</f>
        <v/>
      </c>
      <c r="F323" s="16">
        <f>D323*E323/12</f>
        <v/>
      </c>
      <c r="G323" s="16">
        <f>Parametry!$C$7</f>
        <v/>
      </c>
      <c r="H323" s="18" t="n"/>
      <c r="I323" s="19">
        <f>Parametry!$C$7</f>
        <v/>
      </c>
      <c r="J323" s="20">
        <f>G323+IF(ISNUMBER(H323),H323,0)</f>
        <v/>
      </c>
      <c r="K323" s="16">
        <f>MAX(0,J323-F323)</f>
        <v/>
      </c>
      <c r="L323" s="20">
        <f>MAX(0,D323-K323)</f>
        <v/>
      </c>
      <c r="M323" s="21">
        <f>IF(L323&lt;=0,0,MAX(0,ROUNDUP(-LN(1-L323*(E323/12)/Parametry!$C$7)/LN(1+E323/12),0)))</f>
        <v/>
      </c>
    </row>
    <row r="324" ht="18" customHeight="1">
      <c r="A324" s="22" t="n">
        <v>322</v>
      </c>
      <c r="B324" s="23">
        <f>DATE(Parametry!$C$12+INT((Parametry!$C$13+322-2)/12),MOD(Parametry!$C$13+322-2,12)+1,Parametry!$C$11)</f>
        <v/>
      </c>
      <c r="C324" s="24" t="n">
        <v>322</v>
      </c>
      <c r="D324" s="25">
        <f>L323</f>
        <v/>
      </c>
      <c r="E324" s="26">
        <f>IF(C324&lt;=Parametry!$C$9,Parametry!$C$8,Parametry!$C$10)</f>
        <v/>
      </c>
      <c r="F324" s="25">
        <f>D324*E324/12</f>
        <v/>
      </c>
      <c r="G324" s="25">
        <f>Parametry!$C$7</f>
        <v/>
      </c>
      <c r="H324" s="18" t="n"/>
      <c r="I324" s="19">
        <f>Parametry!$C$7</f>
        <v/>
      </c>
      <c r="J324" s="27">
        <f>G324+IF(ISNUMBER(H324),H324,0)</f>
        <v/>
      </c>
      <c r="K324" s="25">
        <f>MAX(0,J324-F324)</f>
        <v/>
      </c>
      <c r="L324" s="27">
        <f>MAX(0,D324-K324)</f>
        <v/>
      </c>
      <c r="M324" s="28">
        <f>IF(L324&lt;=0,0,MAX(0,ROUNDUP(-LN(1-L324*(E324/12)/Parametry!$C$7)/LN(1+E324/12),0)))</f>
        <v/>
      </c>
    </row>
    <row r="325" ht="18" customHeight="1">
      <c r="A325" s="13" t="n">
        <v>323</v>
      </c>
      <c r="B325" s="14">
        <f>DATE(Parametry!$C$12+INT((Parametry!$C$13+323-2)/12),MOD(Parametry!$C$13+323-2,12)+1,Parametry!$C$11)</f>
        <v/>
      </c>
      <c r="C325" s="15" t="n">
        <v>323</v>
      </c>
      <c r="D325" s="16">
        <f>L324</f>
        <v/>
      </c>
      <c r="E325" s="17">
        <f>IF(C325&lt;=Parametry!$C$9,Parametry!$C$8,Parametry!$C$10)</f>
        <v/>
      </c>
      <c r="F325" s="16">
        <f>D325*E325/12</f>
        <v/>
      </c>
      <c r="G325" s="16">
        <f>Parametry!$C$7</f>
        <v/>
      </c>
      <c r="H325" s="18" t="n"/>
      <c r="I325" s="19">
        <f>Parametry!$C$7</f>
        <v/>
      </c>
      <c r="J325" s="20">
        <f>G325+IF(ISNUMBER(H325),H325,0)</f>
        <v/>
      </c>
      <c r="K325" s="16">
        <f>MAX(0,J325-F325)</f>
        <v/>
      </c>
      <c r="L325" s="20">
        <f>MAX(0,D325-K325)</f>
        <v/>
      </c>
      <c r="M325" s="21">
        <f>IF(L325&lt;=0,0,MAX(0,ROUNDUP(-LN(1-L325*(E325/12)/Parametry!$C$7)/LN(1+E325/12),0)))</f>
        <v/>
      </c>
    </row>
    <row r="326" ht="18" customHeight="1">
      <c r="A326" s="22" t="n">
        <v>324</v>
      </c>
      <c r="B326" s="23">
        <f>DATE(Parametry!$C$12+INT((Parametry!$C$13+324-2)/12),MOD(Parametry!$C$13+324-2,12)+1,Parametry!$C$11)</f>
        <v/>
      </c>
      <c r="C326" s="24" t="n">
        <v>324</v>
      </c>
      <c r="D326" s="25">
        <f>L325</f>
        <v/>
      </c>
      <c r="E326" s="26">
        <f>IF(C326&lt;=Parametry!$C$9,Parametry!$C$8,Parametry!$C$10)</f>
        <v/>
      </c>
      <c r="F326" s="25">
        <f>D326*E326/12</f>
        <v/>
      </c>
      <c r="G326" s="25">
        <f>Parametry!$C$7</f>
        <v/>
      </c>
      <c r="H326" s="18" t="n"/>
      <c r="I326" s="19">
        <f>Parametry!$C$7</f>
        <v/>
      </c>
      <c r="J326" s="27">
        <f>G326+IF(ISNUMBER(H326),H326,0)</f>
        <v/>
      </c>
      <c r="K326" s="25">
        <f>MAX(0,J326-F326)</f>
        <v/>
      </c>
      <c r="L326" s="27">
        <f>MAX(0,D326-K326)</f>
        <v/>
      </c>
      <c r="M326" s="28">
        <f>IF(L326&lt;=0,0,MAX(0,ROUNDUP(-LN(1-L326*(E326/12)/Parametry!$C$7)/LN(1+E326/12),0)))</f>
        <v/>
      </c>
    </row>
    <row r="327" ht="18" customHeight="1">
      <c r="A327" s="13" t="n">
        <v>325</v>
      </c>
      <c r="B327" s="14">
        <f>DATE(Parametry!$C$12+INT((Parametry!$C$13+325-2)/12),MOD(Parametry!$C$13+325-2,12)+1,Parametry!$C$11)</f>
        <v/>
      </c>
      <c r="C327" s="15" t="n">
        <v>325</v>
      </c>
      <c r="D327" s="16">
        <f>L326</f>
        <v/>
      </c>
      <c r="E327" s="17">
        <f>IF(C327&lt;=Parametry!$C$9,Parametry!$C$8,Parametry!$C$10)</f>
        <v/>
      </c>
      <c r="F327" s="16">
        <f>D327*E327/12</f>
        <v/>
      </c>
      <c r="G327" s="16">
        <f>Parametry!$C$7</f>
        <v/>
      </c>
      <c r="H327" s="18" t="n"/>
      <c r="I327" s="19">
        <f>Parametry!$C$7</f>
        <v/>
      </c>
      <c r="J327" s="20">
        <f>G327+IF(ISNUMBER(H327),H327,0)</f>
        <v/>
      </c>
      <c r="K327" s="16">
        <f>MAX(0,J327-F327)</f>
        <v/>
      </c>
      <c r="L327" s="20">
        <f>MAX(0,D327-K327)</f>
        <v/>
      </c>
      <c r="M327" s="21">
        <f>IF(L327&lt;=0,0,MAX(0,ROUNDUP(-LN(1-L327*(E327/12)/Parametry!$C$7)/LN(1+E327/12),0)))</f>
        <v/>
      </c>
    </row>
  </sheetData>
  <mergeCells count="1">
    <mergeCell ref="A1:M1"/>
  </mergeCells>
  <conditionalFormatting sqref="E3:E327">
    <cfRule type="cellIs" priority="1" operator="greaterThan" dxfId="0">
      <formula>0.058</formula>
    </cfRule>
  </conditionalFormatting>
  <conditionalFormatting sqref="H3:H327">
    <cfRule type="expression" priority="2" dxfId="1">
      <formula>NOT(ISBLANK(H3))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2" customWidth="1" min="4" max="4"/>
  </cols>
  <sheetData>
    <row r="1" ht="10" customHeight="1"/>
    <row r="2" ht="36" customHeight="1">
      <c r="B2" s="29" t="inlineStr">
        <is>
          <t>PODSUMOWANIE SPŁATY KREDYTU</t>
        </is>
      </c>
      <c r="C2" s="2" t="n"/>
      <c r="D2" s="3" t="n"/>
    </row>
    <row r="3" ht="8" customHeight="1"/>
    <row r="4" ht="24" customHeight="1">
      <c r="B4" s="30" t="inlineStr">
        <is>
          <t>BEZ NADPŁAT</t>
        </is>
      </c>
      <c r="C4" s="2" t="n"/>
      <c r="D4" s="3" t="n"/>
    </row>
    <row r="5" ht="22" customHeight="1">
      <c r="B5" s="31" t="inlineStr">
        <is>
          <t>Suma odsetek z harmonogramu (ogółem)</t>
        </is>
      </c>
      <c r="C5" s="32">
        <f>SUMPRODUCT(Harmonogram!F3:F327)</f>
        <v/>
      </c>
    </row>
    <row r="6" ht="22" customHeight="1">
      <c r="B6" s="31" t="inlineStr">
        <is>
          <t>Całkowita kwota spłat (kapitał + odsetki + nadpłaty)</t>
        </is>
      </c>
      <c r="C6" s="32">
        <f>SUMPRODUCT(Harmonogram!J3:J327)</f>
        <v/>
      </c>
    </row>
    <row r="7" ht="22" customHeight="1">
      <c r="B7" s="31" t="inlineStr">
        <is>
          <t>Suma nadpłat wpisanych</t>
        </is>
      </c>
      <c r="C7" s="32">
        <f>SUMIF(Harmonogram!H3:H327,"&gt;"&amp;0,Harmonogram!H3:H327)</f>
        <v/>
      </c>
    </row>
    <row r="8" ht="8" customHeight="1"/>
    <row r="9" ht="24" customHeight="1">
      <c r="B9" s="30" t="inlineStr">
        <is>
          <t>OSZCZĘDNOŚCI DZIĘKI NADPŁATOM</t>
        </is>
      </c>
      <c r="C9" s="2" t="n"/>
      <c r="D9" s="3" t="n"/>
    </row>
    <row r="10" ht="22" customHeight="1">
      <c r="B10" s="31" t="inlineStr">
        <is>
          <t>Ostatnia rata z nadpłatami (numer raty w harmonogramie)</t>
        </is>
      </c>
      <c r="C10" s="33">
        <f>IFERROR(MATCH(TRUE,INDEX(Harmonogram!L3:L327&lt;=0,),0),Parametry!$C$6)</f>
        <v/>
      </c>
      <c r="D10" s="34" t="inlineStr">
        <is>
          <t>* Jeśli brak nadpłat, pokazuje ostatnią ratę z tabeli</t>
        </is>
      </c>
    </row>
    <row r="11" ht="22" customHeight="1">
      <c r="B11" s="31" t="inlineStr">
        <is>
          <t>Liczba rat bez nadpłat (parametr)</t>
        </is>
      </c>
      <c r="C11" s="35">
        <f>Parametry!$C$6</f>
        <v/>
      </c>
    </row>
    <row r="12" ht="22" customHeight="1">
      <c r="B12" s="31" t="inlineStr">
        <is>
          <t>Liczba rat skrócona dzięki nadpłatom</t>
        </is>
      </c>
      <c r="C12" s="33">
        <f>MAX(0,Parametry!$C$6-C10)</f>
        <v/>
      </c>
    </row>
    <row r="13" ht="22" customHeight="1">
      <c r="B13" s="31" t="inlineStr">
        <is>
          <t>Data ostatecznej spłaty (z nadpłatami)</t>
        </is>
      </c>
      <c r="C13" s="36">
        <f>DATE(Parametry!$C$12+INT((Parametry!$C$13+C10-2)/12),MOD(Parametry!$C$13+C10-2,12)+1,Parametry!$C$11)</f>
        <v/>
      </c>
    </row>
    <row r="14" ht="22" customHeight="1">
      <c r="B14" s="31" t="inlineStr">
        <is>
          <t>Data ostatecznej spłaty (bez nadpłat)</t>
        </is>
      </c>
      <c r="C14" s="37">
        <f>DATE(Parametry!$C$12+INT((Parametry!$C$13+Parametry!$C$6-2)/12),MOD(Parametry!$C$13+Parametry!$C$6-2,12)+1,Parametry!$C$11)</f>
        <v/>
      </c>
    </row>
    <row r="15" ht="8" customHeight="1"/>
    <row r="16" ht="24" customHeight="1">
      <c r="B16" s="30" t="inlineStr">
        <is>
          <t>SZACOWANE ODSETKI – PORÓWNANIE</t>
        </is>
      </c>
      <c r="C16" s="2" t="n"/>
      <c r="D16" s="3" t="n"/>
    </row>
    <row r="17" ht="22" customHeight="1">
      <c r="B17" s="31" t="inlineStr">
        <is>
          <t>Teoretyczne odsetki bez nadpłat (annuity)</t>
        </is>
      </c>
      <c r="C17" s="32">
        <f>Parametry!$C$7*Parametry!$C$6-Parametry!$C$5</f>
        <v/>
      </c>
    </row>
    <row r="18" ht="22" customHeight="1">
      <c r="B18" s="31" t="inlineStr">
        <is>
          <t>Rzeczywiste odsetki z harmonogramu</t>
        </is>
      </c>
      <c r="C18" s="32">
        <f>Podsumowanie!C5</f>
        <v/>
      </c>
    </row>
    <row r="19" ht="22" customHeight="1">
      <c r="B19" s="31" t="inlineStr">
        <is>
          <t>Oszczędność na odsetkach (szacunek)</t>
        </is>
      </c>
      <c r="C19" s="38">
        <f>MAX(0,C17-C5)</f>
        <v/>
      </c>
    </row>
  </sheetData>
  <mergeCells count="4">
    <mergeCell ref="B16:D16"/>
    <mergeCell ref="B9:D9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2026-07-22T10:04:24Z</dcterms:created>
  <dcterms:modified xsi:type="dcterms:W3CDTF">2026-07-22T10:04:24Z</dcterms:modified>
</cp:coreProperties>
</file>