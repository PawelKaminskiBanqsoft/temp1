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y" sheetId="1" state="visible" r:id="rId1"/>
    <sheet name="Harmonogram" sheetId="2" state="visible" r:id="rId2"/>
    <sheet name="Podsumowani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\ &quot;zł&quot;"/>
    <numFmt numFmtId="165" formatCode="DD.MM.YYYY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sz val="11"/>
    </font>
    <font>
      <name val="Calibri"/>
      <color rgb="00000000"/>
      <sz val="11"/>
    </font>
    <font>
      <name val="Calibri"/>
      <i val="1"/>
      <color rgb="00595959"/>
      <sz val="9"/>
    </font>
    <font>
      <name val="Calibri"/>
      <sz val="10"/>
    </font>
    <font>
      <name val="Calibri"/>
      <b val="1"/>
      <color rgb="00FFFFFF"/>
      <sz val="14"/>
    </font>
    <font>
      <name val="Calibri"/>
      <b val="1"/>
      <color rgb="00FFFFFF"/>
      <sz val="9"/>
    </font>
    <font>
      <name val="Calibri"/>
      <color rgb="00595959"/>
      <sz val="9"/>
    </font>
    <font>
      <name val="Calibri"/>
      <sz val="9"/>
    </font>
    <font>
      <name val="Calibri"/>
      <b val="1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i val="1"/>
      <color rgb="00595959"/>
      <sz val="8"/>
    </font>
    <font>
      <name val="Calibri"/>
      <b val="1"/>
      <color rgb="00000000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99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wrapText="1"/>
    </xf>
    <xf numFmtId="1" fontId="4" fillId="5" borderId="1" applyAlignment="1" pivotButton="0" quotePrefix="0" xfId="0">
      <alignment horizontal="right" vertical="center"/>
    </xf>
    <xf numFmtId="10" fontId="4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164" fontId="10" fillId="7" borderId="1" applyAlignment="1" pivotButton="0" quotePrefix="0" xfId="0">
      <alignment horizontal="right" vertical="center"/>
    </xf>
    <xf numFmtId="10" fontId="10" fillId="7" borderId="1" applyAlignment="1" pivotButton="0" quotePrefix="0" xfId="0">
      <alignment horizontal="center" vertical="center"/>
    </xf>
    <xf numFmtId="164" fontId="10" fillId="8" borderId="6" applyAlignment="1" pivotButton="0" quotePrefix="0" xfId="0">
      <alignment horizontal="right" vertical="center"/>
    </xf>
    <xf numFmtId="164" fontId="5" fillId="9" borderId="1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1" fontId="10" fillId="7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5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right" vertical="center"/>
    </xf>
    <xf numFmtId="10" fontId="10" fillId="4" borderId="1" applyAlignment="1" pivotButton="0" quotePrefix="0" xfId="0">
      <alignment horizontal="center" vertical="center"/>
    </xf>
    <xf numFmtId="164" fontId="11" fillId="4" borderId="1" applyAlignment="1" pivotButton="0" quotePrefix="0" xfId="0">
      <alignment horizontal="right" vertical="center"/>
    </xf>
    <xf numFmtId="1" fontId="10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164" fontId="6" fillId="7" borderId="1" applyAlignment="1" pivotButton="0" quotePrefix="0" xfId="0">
      <alignment horizontal="right" vertical="center"/>
    </xf>
    <xf numFmtId="1" fontId="13" fillId="9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wrapText="1"/>
    </xf>
    <xf numFmtId="1" fontId="6" fillId="7" borderId="1" applyAlignment="1" pivotButton="0" quotePrefix="0" xfId="0">
      <alignment horizontal="right" vertical="center"/>
    </xf>
    <xf numFmtId="165" fontId="13" fillId="9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164" fontId="13" fillId="9" borderId="1" applyAlignment="1" pivotButton="0" quotePrefix="0" xfId="0">
      <alignment horizontal="right" vertical="center"/>
    </xf>
    <xf numFmtId="164" fontId="15" fillId="9" borderId="1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22" customWidth="1" min="3" max="3"/>
    <col width="18" customWidth="1" min="4" max="4"/>
  </cols>
  <sheetData>
    <row r="1" ht="10" customHeight="1"/>
    <row r="2" ht="36" customHeight="1">
      <c r="B2" s="1" t="inlineStr">
        <is>
          <t>🏠  KALKULATOR KREDYTU HIPOTECZNEGO</t>
        </is>
      </c>
      <c r="C2" s="2" t="n"/>
      <c r="D2" s="3" t="n"/>
    </row>
    <row r="3" ht="8" customHeight="1"/>
    <row r="4" ht="24" customHeight="1">
      <c r="B4" s="4" t="inlineStr">
        <is>
          <t>PARAMETRY KREDYTU</t>
        </is>
      </c>
      <c r="C4" s="2" t="n"/>
      <c r="D4" s="3" t="n"/>
    </row>
    <row r="5" ht="22" customHeight="1">
      <c r="B5" s="5" t="inlineStr">
        <is>
          <t>Pozostała kwota do spłaty (saldo)</t>
        </is>
      </c>
      <c r="C5" s="6" t="n">
        <v>533693.01</v>
      </c>
      <c r="D5" s="7" t="inlineStr">
        <is>
          <t>Edytuj → aktualizuje harmonogram</t>
        </is>
      </c>
    </row>
    <row r="6" ht="22" customHeight="1">
      <c r="B6" s="5" t="inlineStr">
        <is>
          <t>Liczba pozostałych rat</t>
        </is>
      </c>
      <c r="C6" s="8" t="n">
        <v>323</v>
      </c>
      <c r="D6" s="7" t="inlineStr">
        <is>
          <t>Edytuj → aktualizuje harmonogram</t>
        </is>
      </c>
    </row>
    <row r="7" ht="22" customHeight="1">
      <c r="B7" s="5" t="inlineStr">
        <is>
          <t>Rata miesięczna (wyliczana)</t>
        </is>
      </c>
      <c r="C7" s="39">
        <f>ROUND(-PMT(C8/12,C6,C5),2)</f>
        <v/>
      </c>
      <c r="D7" s="7" t="inlineStr">
        <is>
          <t>Wyliczana automatycznie z salda, oprocentowania i liczby rat</t>
        </is>
      </c>
    </row>
    <row r="8" ht="22" customHeight="1">
      <c r="B8" s="5" t="inlineStr">
        <is>
          <t>Oprocentowanie I okres (%)</t>
        </is>
      </c>
      <c r="C8" s="9" t="n">
        <v>0.0579</v>
      </c>
      <c r="D8" s="7" t="inlineStr">
        <is>
          <t>np. 5,79% wpisz jako 0.0579</t>
        </is>
      </c>
    </row>
    <row r="9" ht="22" customHeight="1">
      <c r="B9" s="5" t="inlineStr">
        <is>
          <t>Liczba rat w I okresie oprocentowania</t>
        </is>
      </c>
      <c r="C9" s="8" t="n">
        <v>58</v>
      </c>
      <c r="D9" s="7" t="inlineStr">
        <is>
          <t>Nowa rata II okresu jest liczona od kolejnej raty po tym okresie</t>
        </is>
      </c>
    </row>
    <row r="10" ht="22" customHeight="1">
      <c r="B10" s="5" t="inlineStr">
        <is>
          <t>Oprocentowanie II okres (%)</t>
        </is>
      </c>
      <c r="C10" s="9" t="n">
        <v>0.06</v>
      </c>
      <c r="D10" s="7" t="inlineStr">
        <is>
          <t>Stopa po zmianie</t>
        </is>
      </c>
    </row>
    <row r="11" ht="22" customHeight="1">
      <c r="B11" s="5" t="inlineStr">
        <is>
          <t>Dzień spłaty (dzień miesiąca)</t>
        </is>
      </c>
      <c r="C11" s="8" t="n">
        <v>19</v>
      </c>
      <c r="D11" s="7" t="inlineStr">
        <is>
          <t>19 = 19. dzień miesiąca</t>
        </is>
      </c>
    </row>
    <row r="12" ht="22" customHeight="1">
      <c r="B12" s="5" t="inlineStr">
        <is>
          <t>Rok startowy</t>
        </is>
      </c>
      <c r="C12" s="8" t="n">
        <v>2026</v>
      </c>
      <c r="D12" s="7" t="inlineStr">
        <is>
          <t>Rok pierwszej raty</t>
        </is>
      </c>
    </row>
    <row r="13" ht="22" customHeight="1">
      <c r="B13" s="5" t="inlineStr">
        <is>
          <t>Miesiąc startowy (1-12)</t>
        </is>
      </c>
      <c r="C13" s="8" t="n">
        <v>7</v>
      </c>
      <c r="D13" s="7" t="inlineStr">
        <is>
          <t>7 = lipiec</t>
        </is>
      </c>
    </row>
    <row r="14" ht="8" customHeight="1">
      <c r="B14" s="5" t="inlineStr">
        <is>
          <t>Rata miesięczna II okresu (wyliczana)</t>
        </is>
      </c>
      <c r="C14" s="39">
        <f>IF(C6&lt;=C9+1,0,ROUND(-PMT(C10/12,C6-C9-1,INDEX(Harmonogram!D:D,C9+4)),2))</f>
        <v/>
      </c>
      <c r="D14" s="7" t="inlineStr">
        <is>
          <t>Wyliczana z salda na start II okresu i pozostałej liczby rat</t>
        </is>
      </c>
    </row>
    <row r="15" ht="24" customHeight="1">
      <c r="B15" s="4" t="inlineStr">
        <is>
          <t>JAK KORZYSTAĆ Z ARKUSZA</t>
        </is>
      </c>
      <c r="C15" s="2" t="n"/>
      <c r="D15" s="3" t="n"/>
    </row>
    <row r="16" ht="20" customHeight="1">
      <c r="B16" s="10" t="inlineStr">
        <is>
          <t>1. Sprawdź / edytuj parametry w żółtych polach powyżej.</t>
        </is>
      </c>
      <c r="C16" s="2" t="n"/>
      <c r="D16" s="3" t="n"/>
    </row>
    <row r="17" ht="20" customHeight="1">
      <c r="B17" s="10" t="inlineStr">
        <is>
          <t>2. Przejdź do arkusza 'Harmonogram'.</t>
        </is>
      </c>
      <c r="C17" s="2" t="n"/>
      <c r="D17" s="3" t="n"/>
    </row>
    <row r="18" ht="20" customHeight="1">
      <c r="B18" s="10" t="inlineStr">
        <is>
          <t>3. W kolumnie 'NADPŁATA (wpisz)' wpisz kwotę nadpłaty dla danego miesiąca.</t>
        </is>
      </c>
      <c r="C18" s="2" t="n"/>
      <c r="D18" s="3" t="n"/>
    </row>
    <row r="19" ht="20" customHeight="1">
      <c r="B19" s="10" t="inlineStr">
        <is>
          <t>4. Minimalna zalecana nadpłata = wysokość następnej raty (kolumna 'Sug. nadpłata').</t>
        </is>
      </c>
      <c r="C19" s="2" t="n"/>
      <c r="D19" s="3" t="n"/>
    </row>
    <row r="20" ht="20" customHeight="1">
      <c r="B20" s="10" t="inlineStr">
        <is>
          <t>5. Wszystkie pozostałe obliczenia aktualizują się automatycznie.</t>
        </is>
      </c>
      <c r="C20" s="2" t="n"/>
      <c r="D20" s="3" t="n"/>
    </row>
    <row r="21" ht="20" customHeight="1">
      <c r="B21" s="10" t="inlineStr">
        <is>
          <t>6. W arkuszu 'Podsumowanie' zobaczysz oszczędności i skrócenie okresu kredytu.</t>
        </is>
      </c>
      <c r="C21" s="2" t="n"/>
      <c r="D21" s="3" t="n"/>
    </row>
  </sheetData>
  <mergeCells count="9">
    <mergeCell ref="B19:D19"/>
    <mergeCell ref="B4:D4"/>
    <mergeCell ref="B17:D17"/>
    <mergeCell ref="B18:D18"/>
    <mergeCell ref="B2:D2"/>
    <mergeCell ref="B21:D21"/>
    <mergeCell ref="B15:D15"/>
    <mergeCell ref="B16:D16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3" customWidth="1" min="2" max="2"/>
    <col width="7" customWidth="1" min="3" max="3"/>
    <col width="18" customWidth="1" min="4" max="4"/>
    <col width="9" customWidth="1" min="5" max="5"/>
    <col width="14" customWidth="1" min="6" max="6"/>
    <col width="13" customWidth="1" min="7" max="7"/>
    <col width="16" customWidth="1" min="8" max="8"/>
    <col width="16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28" customHeight="1">
      <c r="A1" s="11" t="inlineStr">
        <is>
          <t>HARMONOGRAM SPŁATY KREDYTU HIPOTECZNEGO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6" customHeight="1">
      <c r="A2" s="12" t="inlineStr">
        <is>
          <t>Lp.</t>
        </is>
      </c>
      <c r="B2" s="12" t="inlineStr">
        <is>
          <t>DATA
SPŁATY</t>
        </is>
      </c>
      <c r="C2" s="12" t="inlineStr">
        <is>
          <t>NR
RATY</t>
        </is>
      </c>
      <c r="D2" s="12" t="inlineStr">
        <is>
          <t>SALDO
POCZĄTEK</t>
        </is>
      </c>
      <c r="E2" s="12" t="inlineStr">
        <is>
          <t>OPROCENT.</t>
        </is>
      </c>
      <c r="F2" s="12" t="inlineStr">
        <is>
          <t>ODSETKI</t>
        </is>
      </c>
      <c r="G2" s="12" t="inlineStr">
        <is>
          <t>RATA
STANDARD.</t>
        </is>
      </c>
      <c r="H2" s="12" t="inlineStr">
        <is>
          <t>NADPŁATA
(wpisz)</t>
        </is>
      </c>
      <c r="I2" s="12" t="inlineStr">
        <is>
          <t>SUG.
NADPŁATA</t>
        </is>
      </c>
      <c r="J2" s="12" t="inlineStr">
        <is>
          <t>CAŁK.
SPŁATA</t>
        </is>
      </c>
      <c r="K2" s="12" t="inlineStr">
        <is>
          <t>KAPITAŁ</t>
        </is>
      </c>
      <c r="L2" s="12" t="inlineStr">
        <is>
          <t>SALDO
KONIEC</t>
        </is>
      </c>
      <c r="M2" s="12" t="inlineStr">
        <is>
          <t>POZ.
RAT</t>
        </is>
      </c>
    </row>
    <row r="3" ht="18" customHeight="1">
      <c r="A3" s="13" t="n">
        <v>1</v>
      </c>
      <c r="B3" s="14">
        <f>IF(C3&lt;=Parametry!$C$6,DATE(Parametry!$C$12+INT((Parametry!$C$13+1-2)/12),MOD(Parametry!$C$13+1-2,12)+1,Parametry!$C$11),"")</f>
        <v/>
      </c>
      <c r="C3" s="15" t="n">
        <v>1</v>
      </c>
      <c r="D3" s="16">
        <f>IF(C3&lt;=Parametry!$C$6,Parametry!$C$5,0)</f>
        <v/>
      </c>
      <c r="E3" s="17">
        <f>IF(OR(D3&lt;=0,C3&gt;Parametry!$C$6),0,IF(C3&lt;=Parametry!$C$9+1,Parametry!$C$8,Parametry!$C$10))</f>
        <v/>
      </c>
      <c r="F3" s="16">
        <f>IF(D3&lt;=0,0,ROUND(D3*E3/12,2))</f>
        <v/>
      </c>
      <c r="G3" s="16">
        <f>IF(OR(D3&lt;=0,C3&gt;Parametry!$C$6),0,MIN(IF(C3&lt;=Parametry!$C$9+1,Parametry!$C$7,Parametry!$C$14),ROUND(D3+F3,2)))</f>
        <v/>
      </c>
      <c r="H3" s="18" t="n"/>
      <c r="I3" s="19">
        <f>IF(OR(L3&lt;=0,C3&gt;=Parametry!$C$6),0,INDEX(G:G,ROW()+1))</f>
        <v/>
      </c>
      <c r="J3" s="20">
        <f>IF(D3&lt;=0,0,MIN(G3+N(H3),ROUND(D3+F3,2)))</f>
        <v/>
      </c>
      <c r="K3" s="16">
        <f>IF(J3&lt;=0,0,ROUND(MAX(0,J3-F3),2))</f>
        <v/>
      </c>
      <c r="L3" s="20">
        <f>IF(D3&lt;=0,0,ROUND(MAX(0,D3-K3),2))</f>
        <v/>
      </c>
      <c r="M3" s="21">
        <f>IF(L3&lt;=0,0,IFERROR(MATCH(TRUE,INDEX(L3:L327&lt;=0,0),0),325))</f>
        <v/>
      </c>
    </row>
    <row r="4" ht="18" customHeight="1">
      <c r="A4" s="22" t="n">
        <v>2</v>
      </c>
      <c r="B4" s="23">
        <f>IF(C4&lt;=Parametry!$C$6,DATE(Parametry!$C$12+INT((Parametry!$C$13+2-2)/12),MOD(Parametry!$C$13+2-2,12)+1,Parametry!$C$11),"")</f>
        <v/>
      </c>
      <c r="C4" s="24" t="n">
        <v>2</v>
      </c>
      <c r="D4" s="25">
        <f>IF(C4&lt;=Parametry!$C$6,L3,0)</f>
        <v/>
      </c>
      <c r="E4" s="26">
        <f>IF(OR(D4&lt;=0,C4&gt;Parametry!$C$6),0,IF(C4&lt;=Parametry!$C$9+1,Parametry!$C$8,Parametry!$C$10))</f>
        <v/>
      </c>
      <c r="F4" s="25">
        <f>IF(D4&lt;=0,0,ROUND(D4*E4/12,2))</f>
        <v/>
      </c>
      <c r="G4" s="25">
        <f>IF(OR(D4&lt;=0,C4&gt;Parametry!$C$6),0,MIN(IF(C4&lt;=Parametry!$C$9+1,Parametry!$C$7,Parametry!$C$14),ROUND(D4+F4,2)))</f>
        <v/>
      </c>
      <c r="H4" s="18" t="n"/>
      <c r="I4" s="19">
        <f>IF(OR(L4&lt;=0,C4&gt;=Parametry!$C$6),0,INDEX(G:G,ROW()+1))</f>
        <v/>
      </c>
      <c r="J4" s="27">
        <f>IF(D4&lt;=0,0,MIN(G4+N(H4),ROUND(D4+F4,2)))</f>
        <v/>
      </c>
      <c r="K4" s="25">
        <f>IF(J4&lt;=0,0,ROUND(MAX(0,J4-F4),2))</f>
        <v/>
      </c>
      <c r="L4" s="27">
        <f>IF(D4&lt;=0,0,ROUND(MAX(0,D4-K4),2))</f>
        <v/>
      </c>
      <c r="M4" s="28">
        <f>IF(L4&lt;=0,0,IFERROR(MATCH(TRUE,INDEX(L4:L327&lt;=0,0),0),324))</f>
        <v/>
      </c>
    </row>
    <row r="5" ht="18" customHeight="1">
      <c r="A5" s="13" t="n">
        <v>3</v>
      </c>
      <c r="B5" s="14">
        <f>IF(C5&lt;=Parametry!$C$6,DATE(Parametry!$C$12+INT((Parametry!$C$13+3-2)/12),MOD(Parametry!$C$13+3-2,12)+1,Parametry!$C$11),"")</f>
        <v/>
      </c>
      <c r="C5" s="15" t="n">
        <v>3</v>
      </c>
      <c r="D5" s="16">
        <f>IF(C5&lt;=Parametry!$C$6,L4,0)</f>
        <v/>
      </c>
      <c r="E5" s="17">
        <f>IF(OR(D5&lt;=0,C5&gt;Parametry!$C$6),0,IF(C5&lt;=Parametry!$C$9+1,Parametry!$C$8,Parametry!$C$10))</f>
        <v/>
      </c>
      <c r="F5" s="16">
        <f>IF(D5&lt;=0,0,ROUND(D5*E5/12,2))</f>
        <v/>
      </c>
      <c r="G5" s="16">
        <f>IF(OR(D5&lt;=0,C5&gt;Parametry!$C$6),0,MIN(IF(C5&lt;=Parametry!$C$9+1,Parametry!$C$7,Parametry!$C$14),ROUND(D5+F5,2)))</f>
        <v/>
      </c>
      <c r="H5" s="18" t="n"/>
      <c r="I5" s="19">
        <f>IF(OR(L5&lt;=0,C5&gt;=Parametry!$C$6),0,INDEX(G:G,ROW()+1))</f>
        <v/>
      </c>
      <c r="J5" s="20">
        <f>IF(D5&lt;=0,0,MIN(G5+N(H5),ROUND(D5+F5,2)))</f>
        <v/>
      </c>
      <c r="K5" s="16">
        <f>IF(J5&lt;=0,0,ROUND(MAX(0,J5-F5),2))</f>
        <v/>
      </c>
      <c r="L5" s="20">
        <f>IF(D5&lt;=0,0,ROUND(MAX(0,D5-K5),2))</f>
        <v/>
      </c>
      <c r="M5" s="21">
        <f>IF(L5&lt;=0,0,IFERROR(MATCH(TRUE,INDEX(L5:L327&lt;=0,0),0),323))</f>
        <v/>
      </c>
    </row>
    <row r="6" ht="18" customHeight="1">
      <c r="A6" s="22" t="n">
        <v>4</v>
      </c>
      <c r="B6" s="23">
        <f>IF(C6&lt;=Parametry!$C$6,DATE(Parametry!$C$12+INT((Parametry!$C$13+4-2)/12),MOD(Parametry!$C$13+4-2,12)+1,Parametry!$C$11),"")</f>
        <v/>
      </c>
      <c r="C6" s="24" t="n">
        <v>4</v>
      </c>
      <c r="D6" s="25">
        <f>IF(C6&lt;=Parametry!$C$6,L5,0)</f>
        <v/>
      </c>
      <c r="E6" s="26">
        <f>IF(OR(D6&lt;=0,C6&gt;Parametry!$C$6),0,IF(C6&lt;=Parametry!$C$9+1,Parametry!$C$8,Parametry!$C$10))</f>
        <v/>
      </c>
      <c r="F6" s="25">
        <f>IF(D6&lt;=0,0,ROUND(D6*E6/12,2))</f>
        <v/>
      </c>
      <c r="G6" s="25">
        <f>IF(OR(D6&lt;=0,C6&gt;Parametry!$C$6),0,MIN(IF(C6&lt;=Parametry!$C$9+1,Parametry!$C$7,Parametry!$C$14),ROUND(D6+F6,2)))</f>
        <v/>
      </c>
      <c r="H6" s="18" t="n"/>
      <c r="I6" s="19">
        <f>IF(OR(L6&lt;=0,C6&gt;=Parametry!$C$6),0,INDEX(G:G,ROW()+1))</f>
        <v/>
      </c>
      <c r="J6" s="27">
        <f>IF(D6&lt;=0,0,MIN(G6+N(H6),ROUND(D6+F6,2)))</f>
        <v/>
      </c>
      <c r="K6" s="25">
        <f>IF(J6&lt;=0,0,ROUND(MAX(0,J6-F6),2))</f>
        <v/>
      </c>
      <c r="L6" s="27">
        <f>IF(D6&lt;=0,0,ROUND(MAX(0,D6-K6),2))</f>
        <v/>
      </c>
      <c r="M6" s="28">
        <f>IF(L6&lt;=0,0,IFERROR(MATCH(TRUE,INDEX(L6:L327&lt;=0,0),0),322))</f>
        <v/>
      </c>
    </row>
    <row r="7" ht="18" customHeight="1">
      <c r="A7" s="13" t="n">
        <v>5</v>
      </c>
      <c r="B7" s="14">
        <f>IF(C7&lt;=Parametry!$C$6,DATE(Parametry!$C$12+INT((Parametry!$C$13+5-2)/12),MOD(Parametry!$C$13+5-2,12)+1,Parametry!$C$11),"")</f>
        <v/>
      </c>
      <c r="C7" s="15" t="n">
        <v>5</v>
      </c>
      <c r="D7" s="16">
        <f>IF(C7&lt;=Parametry!$C$6,L6,0)</f>
        <v/>
      </c>
      <c r="E7" s="17">
        <f>IF(OR(D7&lt;=0,C7&gt;Parametry!$C$6),0,IF(C7&lt;=Parametry!$C$9+1,Parametry!$C$8,Parametry!$C$10))</f>
        <v/>
      </c>
      <c r="F7" s="16">
        <f>IF(D7&lt;=0,0,ROUND(D7*E7/12,2))</f>
        <v/>
      </c>
      <c r="G7" s="16">
        <f>IF(OR(D7&lt;=0,C7&gt;Parametry!$C$6),0,MIN(IF(C7&lt;=Parametry!$C$9+1,Parametry!$C$7,Parametry!$C$14),ROUND(D7+F7,2)))</f>
        <v/>
      </c>
      <c r="H7" s="18" t="n"/>
      <c r="I7" s="19">
        <f>IF(OR(L7&lt;=0,C7&gt;=Parametry!$C$6),0,INDEX(G:G,ROW()+1))</f>
        <v/>
      </c>
      <c r="J7" s="20">
        <f>IF(D7&lt;=0,0,MIN(G7+N(H7),ROUND(D7+F7,2)))</f>
        <v/>
      </c>
      <c r="K7" s="16">
        <f>IF(J7&lt;=0,0,ROUND(MAX(0,J7-F7),2))</f>
        <v/>
      </c>
      <c r="L7" s="20">
        <f>IF(D7&lt;=0,0,ROUND(MAX(0,D7-K7),2))</f>
        <v/>
      </c>
      <c r="M7" s="21">
        <f>IF(L7&lt;=0,0,IFERROR(MATCH(TRUE,INDEX(L7:L327&lt;=0,0),0),321))</f>
        <v/>
      </c>
    </row>
    <row r="8" ht="18" customHeight="1">
      <c r="A8" s="22" t="n">
        <v>6</v>
      </c>
      <c r="B8" s="23">
        <f>IF(C8&lt;=Parametry!$C$6,DATE(Parametry!$C$12+INT((Parametry!$C$13+6-2)/12),MOD(Parametry!$C$13+6-2,12)+1,Parametry!$C$11),"")</f>
        <v/>
      </c>
      <c r="C8" s="24" t="n">
        <v>6</v>
      </c>
      <c r="D8" s="25">
        <f>IF(C8&lt;=Parametry!$C$6,L7,0)</f>
        <v/>
      </c>
      <c r="E8" s="26">
        <f>IF(OR(D8&lt;=0,C8&gt;Parametry!$C$6),0,IF(C8&lt;=Parametry!$C$9+1,Parametry!$C$8,Parametry!$C$10))</f>
        <v/>
      </c>
      <c r="F8" s="25">
        <f>IF(D8&lt;=0,0,ROUND(D8*E8/12,2))</f>
        <v/>
      </c>
      <c r="G8" s="25">
        <f>IF(OR(D8&lt;=0,C8&gt;Parametry!$C$6),0,MIN(IF(C8&lt;=Parametry!$C$9+1,Parametry!$C$7,Parametry!$C$14),ROUND(D8+F8,2)))</f>
        <v/>
      </c>
      <c r="H8" s="18" t="n"/>
      <c r="I8" s="19">
        <f>IF(OR(L8&lt;=0,C8&gt;=Parametry!$C$6),0,INDEX(G:G,ROW()+1))</f>
        <v/>
      </c>
      <c r="J8" s="27">
        <f>IF(D8&lt;=0,0,MIN(G8+N(H8),ROUND(D8+F8,2)))</f>
        <v/>
      </c>
      <c r="K8" s="25">
        <f>IF(J8&lt;=0,0,ROUND(MAX(0,J8-F8),2))</f>
        <v/>
      </c>
      <c r="L8" s="27">
        <f>IF(D8&lt;=0,0,ROUND(MAX(0,D8-K8),2))</f>
        <v/>
      </c>
      <c r="M8" s="28">
        <f>IF(L8&lt;=0,0,IFERROR(MATCH(TRUE,INDEX(L8:L327&lt;=0,0),0),320))</f>
        <v/>
      </c>
    </row>
    <row r="9" ht="18" customHeight="1">
      <c r="A9" s="13" t="n">
        <v>7</v>
      </c>
      <c r="B9" s="14">
        <f>IF(C9&lt;=Parametry!$C$6,DATE(Parametry!$C$12+INT((Parametry!$C$13+7-2)/12),MOD(Parametry!$C$13+7-2,12)+1,Parametry!$C$11),"")</f>
        <v/>
      </c>
      <c r="C9" s="15" t="n">
        <v>7</v>
      </c>
      <c r="D9" s="16">
        <f>IF(C9&lt;=Parametry!$C$6,L8,0)</f>
        <v/>
      </c>
      <c r="E9" s="17">
        <f>IF(OR(D9&lt;=0,C9&gt;Parametry!$C$6),0,IF(C9&lt;=Parametry!$C$9+1,Parametry!$C$8,Parametry!$C$10))</f>
        <v/>
      </c>
      <c r="F9" s="16">
        <f>IF(D9&lt;=0,0,ROUND(D9*E9/12,2))</f>
        <v/>
      </c>
      <c r="G9" s="16">
        <f>IF(OR(D9&lt;=0,C9&gt;Parametry!$C$6),0,MIN(IF(C9&lt;=Parametry!$C$9+1,Parametry!$C$7,Parametry!$C$14),ROUND(D9+F9,2)))</f>
        <v/>
      </c>
      <c r="H9" s="18" t="n"/>
      <c r="I9" s="19">
        <f>IF(OR(L9&lt;=0,C9&gt;=Parametry!$C$6),0,INDEX(G:G,ROW()+1))</f>
        <v/>
      </c>
      <c r="J9" s="20">
        <f>IF(D9&lt;=0,0,MIN(G9+N(H9),ROUND(D9+F9,2)))</f>
        <v/>
      </c>
      <c r="K9" s="16">
        <f>IF(J9&lt;=0,0,ROUND(MAX(0,J9-F9),2))</f>
        <v/>
      </c>
      <c r="L9" s="20">
        <f>IF(D9&lt;=0,0,ROUND(MAX(0,D9-K9),2))</f>
        <v/>
      </c>
      <c r="M9" s="21">
        <f>IF(L9&lt;=0,0,IFERROR(MATCH(TRUE,INDEX(L9:L327&lt;=0,0),0),319))</f>
        <v/>
      </c>
    </row>
    <row r="10" ht="18" customHeight="1">
      <c r="A10" s="22" t="n">
        <v>8</v>
      </c>
      <c r="B10" s="23">
        <f>IF(C10&lt;=Parametry!$C$6,DATE(Parametry!$C$12+INT((Parametry!$C$13+8-2)/12),MOD(Parametry!$C$13+8-2,12)+1,Parametry!$C$11),"")</f>
        <v/>
      </c>
      <c r="C10" s="24" t="n">
        <v>8</v>
      </c>
      <c r="D10" s="25">
        <f>IF(C10&lt;=Parametry!$C$6,L9,0)</f>
        <v/>
      </c>
      <c r="E10" s="26">
        <f>IF(OR(D10&lt;=0,C10&gt;Parametry!$C$6),0,IF(C10&lt;=Parametry!$C$9+1,Parametry!$C$8,Parametry!$C$10))</f>
        <v/>
      </c>
      <c r="F10" s="25">
        <f>IF(D10&lt;=0,0,ROUND(D10*E10/12,2))</f>
        <v/>
      </c>
      <c r="G10" s="25">
        <f>IF(OR(D10&lt;=0,C10&gt;Parametry!$C$6),0,MIN(IF(C10&lt;=Parametry!$C$9+1,Parametry!$C$7,Parametry!$C$14),ROUND(D10+F10,2)))</f>
        <v/>
      </c>
      <c r="H10" s="18" t="n"/>
      <c r="I10" s="19">
        <f>IF(OR(L10&lt;=0,C10&gt;=Parametry!$C$6),0,INDEX(G:G,ROW()+1))</f>
        <v/>
      </c>
      <c r="J10" s="27">
        <f>IF(D10&lt;=0,0,MIN(G10+N(H10),ROUND(D10+F10,2)))</f>
        <v/>
      </c>
      <c r="K10" s="25">
        <f>IF(J10&lt;=0,0,ROUND(MAX(0,J10-F10),2))</f>
        <v/>
      </c>
      <c r="L10" s="27">
        <f>IF(D10&lt;=0,0,ROUND(MAX(0,D10-K10),2))</f>
        <v/>
      </c>
      <c r="M10" s="28">
        <f>IF(L10&lt;=0,0,IFERROR(MATCH(TRUE,INDEX(L10:L327&lt;=0,0),0),318))</f>
        <v/>
      </c>
    </row>
    <row r="11" ht="18" customHeight="1">
      <c r="A11" s="13" t="n">
        <v>9</v>
      </c>
      <c r="B11" s="14">
        <f>IF(C11&lt;=Parametry!$C$6,DATE(Parametry!$C$12+INT((Parametry!$C$13+9-2)/12),MOD(Parametry!$C$13+9-2,12)+1,Parametry!$C$11),"")</f>
        <v/>
      </c>
      <c r="C11" s="15" t="n">
        <v>9</v>
      </c>
      <c r="D11" s="16">
        <f>IF(C11&lt;=Parametry!$C$6,L10,0)</f>
        <v/>
      </c>
      <c r="E11" s="17">
        <f>IF(OR(D11&lt;=0,C11&gt;Parametry!$C$6),0,IF(C11&lt;=Parametry!$C$9+1,Parametry!$C$8,Parametry!$C$10))</f>
        <v/>
      </c>
      <c r="F11" s="16">
        <f>IF(D11&lt;=0,0,ROUND(D11*E11/12,2))</f>
        <v/>
      </c>
      <c r="G11" s="16">
        <f>IF(OR(D11&lt;=0,C11&gt;Parametry!$C$6),0,MIN(IF(C11&lt;=Parametry!$C$9+1,Parametry!$C$7,Parametry!$C$14),ROUND(D11+F11,2)))</f>
        <v/>
      </c>
      <c r="H11" s="18" t="n"/>
      <c r="I11" s="19">
        <f>IF(OR(L11&lt;=0,C11&gt;=Parametry!$C$6),0,INDEX(G:G,ROW()+1))</f>
        <v/>
      </c>
      <c r="J11" s="20">
        <f>IF(D11&lt;=0,0,MIN(G11+N(H11),ROUND(D11+F11,2)))</f>
        <v/>
      </c>
      <c r="K11" s="16">
        <f>IF(J11&lt;=0,0,ROUND(MAX(0,J11-F11),2))</f>
        <v/>
      </c>
      <c r="L11" s="20">
        <f>IF(D11&lt;=0,0,ROUND(MAX(0,D11-K11),2))</f>
        <v/>
      </c>
      <c r="M11" s="21">
        <f>IF(L11&lt;=0,0,IFERROR(MATCH(TRUE,INDEX(L11:L327&lt;=0,0),0),317))</f>
        <v/>
      </c>
    </row>
    <row r="12" ht="18" customHeight="1">
      <c r="A12" s="22" t="n">
        <v>10</v>
      </c>
      <c r="B12" s="23">
        <f>IF(C12&lt;=Parametry!$C$6,DATE(Parametry!$C$12+INT((Parametry!$C$13+10-2)/12),MOD(Parametry!$C$13+10-2,12)+1,Parametry!$C$11),"")</f>
        <v/>
      </c>
      <c r="C12" s="24" t="n">
        <v>10</v>
      </c>
      <c r="D12" s="25">
        <f>IF(C12&lt;=Parametry!$C$6,L11,0)</f>
        <v/>
      </c>
      <c r="E12" s="26">
        <f>IF(OR(D12&lt;=0,C12&gt;Parametry!$C$6),0,IF(C12&lt;=Parametry!$C$9+1,Parametry!$C$8,Parametry!$C$10))</f>
        <v/>
      </c>
      <c r="F12" s="25">
        <f>IF(D12&lt;=0,0,ROUND(D12*E12/12,2))</f>
        <v/>
      </c>
      <c r="G12" s="25">
        <f>IF(OR(D12&lt;=0,C12&gt;Parametry!$C$6),0,MIN(IF(C12&lt;=Parametry!$C$9+1,Parametry!$C$7,Parametry!$C$14),ROUND(D12+F12,2)))</f>
        <v/>
      </c>
      <c r="H12" s="18" t="n"/>
      <c r="I12" s="19">
        <f>IF(OR(L12&lt;=0,C12&gt;=Parametry!$C$6),0,INDEX(G:G,ROW()+1))</f>
        <v/>
      </c>
      <c r="J12" s="27">
        <f>IF(D12&lt;=0,0,MIN(G12+N(H12),ROUND(D12+F12,2)))</f>
        <v/>
      </c>
      <c r="K12" s="25">
        <f>IF(J12&lt;=0,0,ROUND(MAX(0,J12-F12),2))</f>
        <v/>
      </c>
      <c r="L12" s="27">
        <f>IF(D12&lt;=0,0,ROUND(MAX(0,D12-K12),2))</f>
        <v/>
      </c>
      <c r="M12" s="28">
        <f>IF(L12&lt;=0,0,IFERROR(MATCH(TRUE,INDEX(L12:L327&lt;=0,0),0),316))</f>
        <v/>
      </c>
    </row>
    <row r="13" ht="18" customHeight="1">
      <c r="A13" s="13" t="n">
        <v>11</v>
      </c>
      <c r="B13" s="14">
        <f>IF(C13&lt;=Parametry!$C$6,DATE(Parametry!$C$12+INT((Parametry!$C$13+11-2)/12),MOD(Parametry!$C$13+11-2,12)+1,Parametry!$C$11),"")</f>
        <v/>
      </c>
      <c r="C13" s="15" t="n">
        <v>11</v>
      </c>
      <c r="D13" s="16">
        <f>IF(C13&lt;=Parametry!$C$6,L12,0)</f>
        <v/>
      </c>
      <c r="E13" s="17">
        <f>IF(OR(D13&lt;=0,C13&gt;Parametry!$C$6),0,IF(C13&lt;=Parametry!$C$9+1,Parametry!$C$8,Parametry!$C$10))</f>
        <v/>
      </c>
      <c r="F13" s="16">
        <f>IF(D13&lt;=0,0,ROUND(D13*E13/12,2))</f>
        <v/>
      </c>
      <c r="G13" s="16">
        <f>IF(OR(D13&lt;=0,C13&gt;Parametry!$C$6),0,MIN(IF(C13&lt;=Parametry!$C$9+1,Parametry!$C$7,Parametry!$C$14),ROUND(D13+F13,2)))</f>
        <v/>
      </c>
      <c r="H13" s="18" t="n"/>
      <c r="I13" s="19">
        <f>IF(OR(L13&lt;=0,C13&gt;=Parametry!$C$6),0,INDEX(G:G,ROW()+1))</f>
        <v/>
      </c>
      <c r="J13" s="20">
        <f>IF(D13&lt;=0,0,MIN(G13+N(H13),ROUND(D13+F13,2)))</f>
        <v/>
      </c>
      <c r="K13" s="16">
        <f>IF(J13&lt;=0,0,ROUND(MAX(0,J13-F13),2))</f>
        <v/>
      </c>
      <c r="L13" s="20">
        <f>IF(D13&lt;=0,0,ROUND(MAX(0,D13-K13),2))</f>
        <v/>
      </c>
      <c r="M13" s="21">
        <f>IF(L13&lt;=0,0,IFERROR(MATCH(TRUE,INDEX(L13:L327&lt;=0,0),0),315))</f>
        <v/>
      </c>
    </row>
    <row r="14" ht="18" customHeight="1">
      <c r="A14" s="22" t="n">
        <v>12</v>
      </c>
      <c r="B14" s="23">
        <f>IF(C14&lt;=Parametry!$C$6,DATE(Parametry!$C$12+INT((Parametry!$C$13+12-2)/12),MOD(Parametry!$C$13+12-2,12)+1,Parametry!$C$11),"")</f>
        <v/>
      </c>
      <c r="C14" s="24" t="n">
        <v>12</v>
      </c>
      <c r="D14" s="25">
        <f>IF(C14&lt;=Parametry!$C$6,L13,0)</f>
        <v/>
      </c>
      <c r="E14" s="26">
        <f>IF(OR(D14&lt;=0,C14&gt;Parametry!$C$6),0,IF(C14&lt;=Parametry!$C$9+1,Parametry!$C$8,Parametry!$C$10))</f>
        <v/>
      </c>
      <c r="F14" s="25">
        <f>IF(D14&lt;=0,0,ROUND(D14*E14/12,2))</f>
        <v/>
      </c>
      <c r="G14" s="25">
        <f>IF(OR(D14&lt;=0,C14&gt;Parametry!$C$6),0,MIN(IF(C14&lt;=Parametry!$C$9+1,Parametry!$C$7,Parametry!$C$14),ROUND(D14+F14,2)))</f>
        <v/>
      </c>
      <c r="H14" s="18" t="n"/>
      <c r="I14" s="19">
        <f>IF(OR(L14&lt;=0,C14&gt;=Parametry!$C$6),0,INDEX(G:G,ROW()+1))</f>
        <v/>
      </c>
      <c r="J14" s="27">
        <f>IF(D14&lt;=0,0,MIN(G14+N(H14),ROUND(D14+F14,2)))</f>
        <v/>
      </c>
      <c r="K14" s="25">
        <f>IF(J14&lt;=0,0,ROUND(MAX(0,J14-F14),2))</f>
        <v/>
      </c>
      <c r="L14" s="27">
        <f>IF(D14&lt;=0,0,ROUND(MAX(0,D14-K14),2))</f>
        <v/>
      </c>
      <c r="M14" s="28">
        <f>IF(L14&lt;=0,0,IFERROR(MATCH(TRUE,INDEX(L14:L327&lt;=0,0),0),314))</f>
        <v/>
      </c>
    </row>
    <row r="15" ht="18" customHeight="1">
      <c r="A15" s="13" t="n">
        <v>13</v>
      </c>
      <c r="B15" s="14">
        <f>IF(C15&lt;=Parametry!$C$6,DATE(Parametry!$C$12+INT((Parametry!$C$13+13-2)/12),MOD(Parametry!$C$13+13-2,12)+1,Parametry!$C$11),"")</f>
        <v/>
      </c>
      <c r="C15" s="15" t="n">
        <v>13</v>
      </c>
      <c r="D15" s="16">
        <f>IF(C15&lt;=Parametry!$C$6,L14,0)</f>
        <v/>
      </c>
      <c r="E15" s="17">
        <f>IF(OR(D15&lt;=0,C15&gt;Parametry!$C$6),0,IF(C15&lt;=Parametry!$C$9+1,Parametry!$C$8,Parametry!$C$10))</f>
        <v/>
      </c>
      <c r="F15" s="16">
        <f>IF(D15&lt;=0,0,ROUND(D15*E15/12,2))</f>
        <v/>
      </c>
      <c r="G15" s="16">
        <f>IF(OR(D15&lt;=0,C15&gt;Parametry!$C$6),0,MIN(IF(C15&lt;=Parametry!$C$9+1,Parametry!$C$7,Parametry!$C$14),ROUND(D15+F15,2)))</f>
        <v/>
      </c>
      <c r="H15" s="18" t="n"/>
      <c r="I15" s="19">
        <f>IF(OR(L15&lt;=0,C15&gt;=Parametry!$C$6),0,INDEX(G:G,ROW()+1))</f>
        <v/>
      </c>
      <c r="J15" s="20">
        <f>IF(D15&lt;=0,0,MIN(G15+N(H15),ROUND(D15+F15,2)))</f>
        <v/>
      </c>
      <c r="K15" s="16">
        <f>IF(J15&lt;=0,0,ROUND(MAX(0,J15-F15),2))</f>
        <v/>
      </c>
      <c r="L15" s="20">
        <f>IF(D15&lt;=0,0,ROUND(MAX(0,D15-K15),2))</f>
        <v/>
      </c>
      <c r="M15" s="21">
        <f>IF(L15&lt;=0,0,IFERROR(MATCH(TRUE,INDEX(L15:L327&lt;=0,0),0),313))</f>
        <v/>
      </c>
    </row>
    <row r="16" ht="18" customHeight="1">
      <c r="A16" s="22" t="n">
        <v>14</v>
      </c>
      <c r="B16" s="23">
        <f>IF(C16&lt;=Parametry!$C$6,DATE(Parametry!$C$12+INT((Parametry!$C$13+14-2)/12),MOD(Parametry!$C$13+14-2,12)+1,Parametry!$C$11),"")</f>
        <v/>
      </c>
      <c r="C16" s="24" t="n">
        <v>14</v>
      </c>
      <c r="D16" s="25">
        <f>IF(C16&lt;=Parametry!$C$6,L15,0)</f>
        <v/>
      </c>
      <c r="E16" s="26">
        <f>IF(OR(D16&lt;=0,C16&gt;Parametry!$C$6),0,IF(C16&lt;=Parametry!$C$9+1,Parametry!$C$8,Parametry!$C$10))</f>
        <v/>
      </c>
      <c r="F16" s="25">
        <f>IF(D16&lt;=0,0,ROUND(D16*E16/12,2))</f>
        <v/>
      </c>
      <c r="G16" s="25">
        <f>IF(OR(D16&lt;=0,C16&gt;Parametry!$C$6),0,MIN(IF(C16&lt;=Parametry!$C$9+1,Parametry!$C$7,Parametry!$C$14),ROUND(D16+F16,2)))</f>
        <v/>
      </c>
      <c r="H16" s="18" t="n"/>
      <c r="I16" s="19">
        <f>IF(OR(L16&lt;=0,C16&gt;=Parametry!$C$6),0,INDEX(G:G,ROW()+1))</f>
        <v/>
      </c>
      <c r="J16" s="27">
        <f>IF(D16&lt;=0,0,MIN(G16+N(H16),ROUND(D16+F16,2)))</f>
        <v/>
      </c>
      <c r="K16" s="25">
        <f>IF(J16&lt;=0,0,ROUND(MAX(0,J16-F16),2))</f>
        <v/>
      </c>
      <c r="L16" s="27">
        <f>IF(D16&lt;=0,0,ROUND(MAX(0,D16-K16),2))</f>
        <v/>
      </c>
      <c r="M16" s="28">
        <f>IF(L16&lt;=0,0,IFERROR(MATCH(TRUE,INDEX(L16:L327&lt;=0,0),0),312))</f>
        <v/>
      </c>
    </row>
    <row r="17" ht="18" customHeight="1">
      <c r="A17" s="13" t="n">
        <v>15</v>
      </c>
      <c r="B17" s="14">
        <f>IF(C17&lt;=Parametry!$C$6,DATE(Parametry!$C$12+INT((Parametry!$C$13+15-2)/12),MOD(Parametry!$C$13+15-2,12)+1,Parametry!$C$11),"")</f>
        <v/>
      </c>
      <c r="C17" s="15" t="n">
        <v>15</v>
      </c>
      <c r="D17" s="16">
        <f>IF(C17&lt;=Parametry!$C$6,L16,0)</f>
        <v/>
      </c>
      <c r="E17" s="17">
        <f>IF(OR(D17&lt;=0,C17&gt;Parametry!$C$6),0,IF(C17&lt;=Parametry!$C$9+1,Parametry!$C$8,Parametry!$C$10))</f>
        <v/>
      </c>
      <c r="F17" s="16">
        <f>IF(D17&lt;=0,0,ROUND(D17*E17/12,2))</f>
        <v/>
      </c>
      <c r="G17" s="16">
        <f>IF(OR(D17&lt;=0,C17&gt;Parametry!$C$6),0,MIN(IF(C17&lt;=Parametry!$C$9+1,Parametry!$C$7,Parametry!$C$14),ROUND(D17+F17,2)))</f>
        <v/>
      </c>
      <c r="H17" s="18" t="n"/>
      <c r="I17" s="19">
        <f>IF(OR(L17&lt;=0,C17&gt;=Parametry!$C$6),0,INDEX(G:G,ROW()+1))</f>
        <v/>
      </c>
      <c r="J17" s="20">
        <f>IF(D17&lt;=0,0,MIN(G17+N(H17),ROUND(D17+F17,2)))</f>
        <v/>
      </c>
      <c r="K17" s="16">
        <f>IF(J17&lt;=0,0,ROUND(MAX(0,J17-F17),2))</f>
        <v/>
      </c>
      <c r="L17" s="20">
        <f>IF(D17&lt;=0,0,ROUND(MAX(0,D17-K17),2))</f>
        <v/>
      </c>
      <c r="M17" s="21">
        <f>IF(L17&lt;=0,0,IFERROR(MATCH(TRUE,INDEX(L17:L327&lt;=0,0),0),311))</f>
        <v/>
      </c>
    </row>
    <row r="18" ht="18" customHeight="1">
      <c r="A18" s="22" t="n">
        <v>16</v>
      </c>
      <c r="B18" s="23">
        <f>IF(C18&lt;=Parametry!$C$6,DATE(Parametry!$C$12+INT((Parametry!$C$13+16-2)/12),MOD(Parametry!$C$13+16-2,12)+1,Parametry!$C$11),"")</f>
        <v/>
      </c>
      <c r="C18" s="24" t="n">
        <v>16</v>
      </c>
      <c r="D18" s="25">
        <f>IF(C18&lt;=Parametry!$C$6,L17,0)</f>
        <v/>
      </c>
      <c r="E18" s="26">
        <f>IF(OR(D18&lt;=0,C18&gt;Parametry!$C$6),0,IF(C18&lt;=Parametry!$C$9+1,Parametry!$C$8,Parametry!$C$10))</f>
        <v/>
      </c>
      <c r="F18" s="25">
        <f>IF(D18&lt;=0,0,ROUND(D18*E18/12,2))</f>
        <v/>
      </c>
      <c r="G18" s="25">
        <f>IF(OR(D18&lt;=0,C18&gt;Parametry!$C$6),0,MIN(IF(C18&lt;=Parametry!$C$9+1,Parametry!$C$7,Parametry!$C$14),ROUND(D18+F18,2)))</f>
        <v/>
      </c>
      <c r="H18" s="18" t="n"/>
      <c r="I18" s="19">
        <f>IF(OR(L18&lt;=0,C18&gt;=Parametry!$C$6),0,INDEX(G:G,ROW()+1))</f>
        <v/>
      </c>
      <c r="J18" s="27">
        <f>IF(D18&lt;=0,0,MIN(G18+N(H18),ROUND(D18+F18,2)))</f>
        <v/>
      </c>
      <c r="K18" s="25">
        <f>IF(J18&lt;=0,0,ROUND(MAX(0,J18-F18),2))</f>
        <v/>
      </c>
      <c r="L18" s="27">
        <f>IF(D18&lt;=0,0,ROUND(MAX(0,D18-K18),2))</f>
        <v/>
      </c>
      <c r="M18" s="28">
        <f>IF(L18&lt;=0,0,IFERROR(MATCH(TRUE,INDEX(L18:L327&lt;=0,0),0),310))</f>
        <v/>
      </c>
    </row>
    <row r="19" ht="18" customHeight="1">
      <c r="A19" s="13" t="n">
        <v>17</v>
      </c>
      <c r="B19" s="14">
        <f>IF(C19&lt;=Parametry!$C$6,DATE(Parametry!$C$12+INT((Parametry!$C$13+17-2)/12),MOD(Parametry!$C$13+17-2,12)+1,Parametry!$C$11),"")</f>
        <v/>
      </c>
      <c r="C19" s="15" t="n">
        <v>17</v>
      </c>
      <c r="D19" s="16">
        <f>IF(C19&lt;=Parametry!$C$6,L18,0)</f>
        <v/>
      </c>
      <c r="E19" s="17">
        <f>IF(OR(D19&lt;=0,C19&gt;Parametry!$C$6),0,IF(C19&lt;=Parametry!$C$9+1,Parametry!$C$8,Parametry!$C$10))</f>
        <v/>
      </c>
      <c r="F19" s="16">
        <f>IF(D19&lt;=0,0,ROUND(D19*E19/12,2))</f>
        <v/>
      </c>
      <c r="G19" s="16">
        <f>IF(OR(D19&lt;=0,C19&gt;Parametry!$C$6),0,MIN(IF(C19&lt;=Parametry!$C$9+1,Parametry!$C$7,Parametry!$C$14),ROUND(D19+F19,2)))</f>
        <v/>
      </c>
      <c r="H19" s="18" t="n"/>
      <c r="I19" s="19">
        <f>IF(OR(L19&lt;=0,C19&gt;=Parametry!$C$6),0,INDEX(G:G,ROW()+1))</f>
        <v/>
      </c>
      <c r="J19" s="20">
        <f>IF(D19&lt;=0,0,MIN(G19+N(H19),ROUND(D19+F19,2)))</f>
        <v/>
      </c>
      <c r="K19" s="16">
        <f>IF(J19&lt;=0,0,ROUND(MAX(0,J19-F19),2))</f>
        <v/>
      </c>
      <c r="L19" s="20">
        <f>IF(D19&lt;=0,0,ROUND(MAX(0,D19-K19),2))</f>
        <v/>
      </c>
      <c r="M19" s="21">
        <f>IF(L19&lt;=0,0,IFERROR(MATCH(TRUE,INDEX(L19:L327&lt;=0,0),0),309))</f>
        <v/>
      </c>
    </row>
    <row r="20" ht="18" customHeight="1">
      <c r="A20" s="22" t="n">
        <v>18</v>
      </c>
      <c r="B20" s="23">
        <f>IF(C20&lt;=Parametry!$C$6,DATE(Parametry!$C$12+INT((Parametry!$C$13+18-2)/12),MOD(Parametry!$C$13+18-2,12)+1,Parametry!$C$11),"")</f>
        <v/>
      </c>
      <c r="C20" s="24" t="n">
        <v>18</v>
      </c>
      <c r="D20" s="25">
        <f>IF(C20&lt;=Parametry!$C$6,L19,0)</f>
        <v/>
      </c>
      <c r="E20" s="26">
        <f>IF(OR(D20&lt;=0,C20&gt;Parametry!$C$6),0,IF(C20&lt;=Parametry!$C$9+1,Parametry!$C$8,Parametry!$C$10))</f>
        <v/>
      </c>
      <c r="F20" s="25">
        <f>IF(D20&lt;=0,0,ROUND(D20*E20/12,2))</f>
        <v/>
      </c>
      <c r="G20" s="25">
        <f>IF(OR(D20&lt;=0,C20&gt;Parametry!$C$6),0,MIN(IF(C20&lt;=Parametry!$C$9+1,Parametry!$C$7,Parametry!$C$14),ROUND(D20+F20,2)))</f>
        <v/>
      </c>
      <c r="H20" s="18" t="n"/>
      <c r="I20" s="19">
        <f>IF(OR(L20&lt;=0,C20&gt;=Parametry!$C$6),0,INDEX(G:G,ROW()+1))</f>
        <v/>
      </c>
      <c r="J20" s="27">
        <f>IF(D20&lt;=0,0,MIN(G20+N(H20),ROUND(D20+F20,2)))</f>
        <v/>
      </c>
      <c r="K20" s="25">
        <f>IF(J20&lt;=0,0,ROUND(MAX(0,J20-F20),2))</f>
        <v/>
      </c>
      <c r="L20" s="27">
        <f>IF(D20&lt;=0,0,ROUND(MAX(0,D20-K20),2))</f>
        <v/>
      </c>
      <c r="M20" s="28">
        <f>IF(L20&lt;=0,0,IFERROR(MATCH(TRUE,INDEX(L20:L327&lt;=0,0),0),308))</f>
        <v/>
      </c>
    </row>
    <row r="21" ht="18" customHeight="1">
      <c r="A21" s="13" t="n">
        <v>19</v>
      </c>
      <c r="B21" s="14">
        <f>IF(C21&lt;=Parametry!$C$6,DATE(Parametry!$C$12+INT((Parametry!$C$13+19-2)/12),MOD(Parametry!$C$13+19-2,12)+1,Parametry!$C$11),"")</f>
        <v/>
      </c>
      <c r="C21" s="15" t="n">
        <v>19</v>
      </c>
      <c r="D21" s="16">
        <f>IF(C21&lt;=Parametry!$C$6,L20,0)</f>
        <v/>
      </c>
      <c r="E21" s="17">
        <f>IF(OR(D21&lt;=0,C21&gt;Parametry!$C$6),0,IF(C21&lt;=Parametry!$C$9+1,Parametry!$C$8,Parametry!$C$10))</f>
        <v/>
      </c>
      <c r="F21" s="16">
        <f>IF(D21&lt;=0,0,ROUND(D21*E21/12,2))</f>
        <v/>
      </c>
      <c r="G21" s="16">
        <f>IF(OR(D21&lt;=0,C21&gt;Parametry!$C$6),0,MIN(IF(C21&lt;=Parametry!$C$9+1,Parametry!$C$7,Parametry!$C$14),ROUND(D21+F21,2)))</f>
        <v/>
      </c>
      <c r="H21" s="18" t="n"/>
      <c r="I21" s="19">
        <f>IF(OR(L21&lt;=0,C21&gt;=Parametry!$C$6),0,INDEX(G:G,ROW()+1))</f>
        <v/>
      </c>
      <c r="J21" s="20">
        <f>IF(D21&lt;=0,0,MIN(G21+N(H21),ROUND(D21+F21,2)))</f>
        <v/>
      </c>
      <c r="K21" s="16">
        <f>IF(J21&lt;=0,0,ROUND(MAX(0,J21-F21),2))</f>
        <v/>
      </c>
      <c r="L21" s="20">
        <f>IF(D21&lt;=0,0,ROUND(MAX(0,D21-K21),2))</f>
        <v/>
      </c>
      <c r="M21" s="21">
        <f>IF(L21&lt;=0,0,IFERROR(MATCH(TRUE,INDEX(L21:L327&lt;=0,0),0),307))</f>
        <v/>
      </c>
    </row>
    <row r="22" ht="18" customHeight="1">
      <c r="A22" s="22" t="n">
        <v>20</v>
      </c>
      <c r="B22" s="23">
        <f>IF(C22&lt;=Parametry!$C$6,DATE(Parametry!$C$12+INT((Parametry!$C$13+20-2)/12),MOD(Parametry!$C$13+20-2,12)+1,Parametry!$C$11),"")</f>
        <v/>
      </c>
      <c r="C22" s="24" t="n">
        <v>20</v>
      </c>
      <c r="D22" s="25">
        <f>IF(C22&lt;=Parametry!$C$6,L21,0)</f>
        <v/>
      </c>
      <c r="E22" s="26">
        <f>IF(OR(D22&lt;=0,C22&gt;Parametry!$C$6),0,IF(C22&lt;=Parametry!$C$9+1,Parametry!$C$8,Parametry!$C$10))</f>
        <v/>
      </c>
      <c r="F22" s="25">
        <f>IF(D22&lt;=0,0,ROUND(D22*E22/12,2))</f>
        <v/>
      </c>
      <c r="G22" s="25">
        <f>IF(OR(D22&lt;=0,C22&gt;Parametry!$C$6),0,MIN(IF(C22&lt;=Parametry!$C$9+1,Parametry!$C$7,Parametry!$C$14),ROUND(D22+F22,2)))</f>
        <v/>
      </c>
      <c r="H22" s="18" t="n"/>
      <c r="I22" s="19">
        <f>IF(OR(L22&lt;=0,C22&gt;=Parametry!$C$6),0,INDEX(G:G,ROW()+1))</f>
        <v/>
      </c>
      <c r="J22" s="27">
        <f>IF(D22&lt;=0,0,MIN(G22+N(H22),ROUND(D22+F22,2)))</f>
        <v/>
      </c>
      <c r="K22" s="25">
        <f>IF(J22&lt;=0,0,ROUND(MAX(0,J22-F22),2))</f>
        <v/>
      </c>
      <c r="L22" s="27">
        <f>IF(D22&lt;=0,0,ROUND(MAX(0,D22-K22),2))</f>
        <v/>
      </c>
      <c r="M22" s="28">
        <f>IF(L22&lt;=0,0,IFERROR(MATCH(TRUE,INDEX(L22:L327&lt;=0,0),0),306))</f>
        <v/>
      </c>
    </row>
    <row r="23" ht="18" customHeight="1">
      <c r="A23" s="13" t="n">
        <v>21</v>
      </c>
      <c r="B23" s="14">
        <f>IF(C23&lt;=Parametry!$C$6,DATE(Parametry!$C$12+INT((Parametry!$C$13+21-2)/12),MOD(Parametry!$C$13+21-2,12)+1,Parametry!$C$11),"")</f>
        <v/>
      </c>
      <c r="C23" s="15" t="n">
        <v>21</v>
      </c>
      <c r="D23" s="16">
        <f>IF(C23&lt;=Parametry!$C$6,L22,0)</f>
        <v/>
      </c>
      <c r="E23" s="17">
        <f>IF(OR(D23&lt;=0,C23&gt;Parametry!$C$6),0,IF(C23&lt;=Parametry!$C$9+1,Parametry!$C$8,Parametry!$C$10))</f>
        <v/>
      </c>
      <c r="F23" s="16">
        <f>IF(D23&lt;=0,0,ROUND(D23*E23/12,2))</f>
        <v/>
      </c>
      <c r="G23" s="16">
        <f>IF(OR(D23&lt;=0,C23&gt;Parametry!$C$6),0,MIN(IF(C23&lt;=Parametry!$C$9+1,Parametry!$C$7,Parametry!$C$14),ROUND(D23+F23,2)))</f>
        <v/>
      </c>
      <c r="H23" s="18" t="n"/>
      <c r="I23" s="19">
        <f>IF(OR(L23&lt;=0,C23&gt;=Parametry!$C$6),0,INDEX(G:G,ROW()+1))</f>
        <v/>
      </c>
      <c r="J23" s="20">
        <f>IF(D23&lt;=0,0,MIN(G23+N(H23),ROUND(D23+F23,2)))</f>
        <v/>
      </c>
      <c r="K23" s="16">
        <f>IF(J23&lt;=0,0,ROUND(MAX(0,J23-F23),2))</f>
        <v/>
      </c>
      <c r="L23" s="20">
        <f>IF(D23&lt;=0,0,ROUND(MAX(0,D23-K23),2))</f>
        <v/>
      </c>
      <c r="M23" s="21">
        <f>IF(L23&lt;=0,0,IFERROR(MATCH(TRUE,INDEX(L23:L327&lt;=0,0),0),305))</f>
        <v/>
      </c>
    </row>
    <row r="24" ht="18" customHeight="1">
      <c r="A24" s="22" t="n">
        <v>22</v>
      </c>
      <c r="B24" s="23">
        <f>IF(C24&lt;=Parametry!$C$6,DATE(Parametry!$C$12+INT((Parametry!$C$13+22-2)/12),MOD(Parametry!$C$13+22-2,12)+1,Parametry!$C$11),"")</f>
        <v/>
      </c>
      <c r="C24" s="24" t="n">
        <v>22</v>
      </c>
      <c r="D24" s="25">
        <f>IF(C24&lt;=Parametry!$C$6,L23,0)</f>
        <v/>
      </c>
      <c r="E24" s="26">
        <f>IF(OR(D24&lt;=0,C24&gt;Parametry!$C$6),0,IF(C24&lt;=Parametry!$C$9+1,Parametry!$C$8,Parametry!$C$10))</f>
        <v/>
      </c>
      <c r="F24" s="25">
        <f>IF(D24&lt;=0,0,ROUND(D24*E24/12,2))</f>
        <v/>
      </c>
      <c r="G24" s="25">
        <f>IF(OR(D24&lt;=0,C24&gt;Parametry!$C$6),0,MIN(IF(C24&lt;=Parametry!$C$9+1,Parametry!$C$7,Parametry!$C$14),ROUND(D24+F24,2)))</f>
        <v/>
      </c>
      <c r="H24" s="18" t="n"/>
      <c r="I24" s="19">
        <f>IF(OR(L24&lt;=0,C24&gt;=Parametry!$C$6),0,INDEX(G:G,ROW()+1))</f>
        <v/>
      </c>
      <c r="J24" s="27">
        <f>IF(D24&lt;=0,0,MIN(G24+N(H24),ROUND(D24+F24,2)))</f>
        <v/>
      </c>
      <c r="K24" s="25">
        <f>IF(J24&lt;=0,0,ROUND(MAX(0,J24-F24),2))</f>
        <v/>
      </c>
      <c r="L24" s="27">
        <f>IF(D24&lt;=0,0,ROUND(MAX(0,D24-K24),2))</f>
        <v/>
      </c>
      <c r="M24" s="28">
        <f>IF(L24&lt;=0,0,IFERROR(MATCH(TRUE,INDEX(L24:L327&lt;=0,0),0),304))</f>
        <v/>
      </c>
    </row>
    <row r="25" ht="18" customHeight="1">
      <c r="A25" s="13" t="n">
        <v>23</v>
      </c>
      <c r="B25" s="14">
        <f>IF(C25&lt;=Parametry!$C$6,DATE(Parametry!$C$12+INT((Parametry!$C$13+23-2)/12),MOD(Parametry!$C$13+23-2,12)+1,Parametry!$C$11),"")</f>
        <v/>
      </c>
      <c r="C25" s="15" t="n">
        <v>23</v>
      </c>
      <c r="D25" s="16">
        <f>IF(C25&lt;=Parametry!$C$6,L24,0)</f>
        <v/>
      </c>
      <c r="E25" s="17">
        <f>IF(OR(D25&lt;=0,C25&gt;Parametry!$C$6),0,IF(C25&lt;=Parametry!$C$9+1,Parametry!$C$8,Parametry!$C$10))</f>
        <v/>
      </c>
      <c r="F25" s="16">
        <f>IF(D25&lt;=0,0,ROUND(D25*E25/12,2))</f>
        <v/>
      </c>
      <c r="G25" s="16">
        <f>IF(OR(D25&lt;=0,C25&gt;Parametry!$C$6),0,MIN(IF(C25&lt;=Parametry!$C$9+1,Parametry!$C$7,Parametry!$C$14),ROUND(D25+F25,2)))</f>
        <v/>
      </c>
      <c r="H25" s="18" t="n"/>
      <c r="I25" s="19">
        <f>IF(OR(L25&lt;=0,C25&gt;=Parametry!$C$6),0,INDEX(G:G,ROW()+1))</f>
        <v/>
      </c>
      <c r="J25" s="20">
        <f>IF(D25&lt;=0,0,MIN(G25+N(H25),ROUND(D25+F25,2)))</f>
        <v/>
      </c>
      <c r="K25" s="16">
        <f>IF(J25&lt;=0,0,ROUND(MAX(0,J25-F25),2))</f>
        <v/>
      </c>
      <c r="L25" s="20">
        <f>IF(D25&lt;=0,0,ROUND(MAX(0,D25-K25),2))</f>
        <v/>
      </c>
      <c r="M25" s="21">
        <f>IF(L25&lt;=0,0,IFERROR(MATCH(TRUE,INDEX(L25:L327&lt;=0,0),0),303))</f>
        <v/>
      </c>
    </row>
    <row r="26" ht="18" customHeight="1">
      <c r="A26" s="22" t="n">
        <v>24</v>
      </c>
      <c r="B26" s="23">
        <f>IF(C26&lt;=Parametry!$C$6,DATE(Parametry!$C$12+INT((Parametry!$C$13+24-2)/12),MOD(Parametry!$C$13+24-2,12)+1,Parametry!$C$11),"")</f>
        <v/>
      </c>
      <c r="C26" s="24" t="n">
        <v>24</v>
      </c>
      <c r="D26" s="25">
        <f>IF(C26&lt;=Parametry!$C$6,L25,0)</f>
        <v/>
      </c>
      <c r="E26" s="26">
        <f>IF(OR(D26&lt;=0,C26&gt;Parametry!$C$6),0,IF(C26&lt;=Parametry!$C$9+1,Parametry!$C$8,Parametry!$C$10))</f>
        <v/>
      </c>
      <c r="F26" s="25">
        <f>IF(D26&lt;=0,0,ROUND(D26*E26/12,2))</f>
        <v/>
      </c>
      <c r="G26" s="25">
        <f>IF(OR(D26&lt;=0,C26&gt;Parametry!$C$6),0,MIN(IF(C26&lt;=Parametry!$C$9+1,Parametry!$C$7,Parametry!$C$14),ROUND(D26+F26,2)))</f>
        <v/>
      </c>
      <c r="H26" s="18" t="n"/>
      <c r="I26" s="19">
        <f>IF(OR(L26&lt;=0,C26&gt;=Parametry!$C$6),0,INDEX(G:G,ROW()+1))</f>
        <v/>
      </c>
      <c r="J26" s="27">
        <f>IF(D26&lt;=0,0,MIN(G26+N(H26),ROUND(D26+F26,2)))</f>
        <v/>
      </c>
      <c r="K26" s="25">
        <f>IF(J26&lt;=0,0,ROUND(MAX(0,J26-F26),2))</f>
        <v/>
      </c>
      <c r="L26" s="27">
        <f>IF(D26&lt;=0,0,ROUND(MAX(0,D26-K26),2))</f>
        <v/>
      </c>
      <c r="M26" s="28">
        <f>IF(L26&lt;=0,0,IFERROR(MATCH(TRUE,INDEX(L26:L327&lt;=0,0),0),302))</f>
        <v/>
      </c>
    </row>
    <row r="27" ht="18" customHeight="1">
      <c r="A27" s="13" t="n">
        <v>25</v>
      </c>
      <c r="B27" s="14">
        <f>IF(C27&lt;=Parametry!$C$6,DATE(Parametry!$C$12+INT((Parametry!$C$13+25-2)/12),MOD(Parametry!$C$13+25-2,12)+1,Parametry!$C$11),"")</f>
        <v/>
      </c>
      <c r="C27" s="15" t="n">
        <v>25</v>
      </c>
      <c r="D27" s="16">
        <f>IF(C27&lt;=Parametry!$C$6,L26,0)</f>
        <v/>
      </c>
      <c r="E27" s="17">
        <f>IF(OR(D27&lt;=0,C27&gt;Parametry!$C$6),0,IF(C27&lt;=Parametry!$C$9+1,Parametry!$C$8,Parametry!$C$10))</f>
        <v/>
      </c>
      <c r="F27" s="16">
        <f>IF(D27&lt;=0,0,ROUND(D27*E27/12,2))</f>
        <v/>
      </c>
      <c r="G27" s="16">
        <f>IF(OR(D27&lt;=0,C27&gt;Parametry!$C$6),0,MIN(IF(C27&lt;=Parametry!$C$9+1,Parametry!$C$7,Parametry!$C$14),ROUND(D27+F27,2)))</f>
        <v/>
      </c>
      <c r="H27" s="18" t="n"/>
      <c r="I27" s="19">
        <f>IF(OR(L27&lt;=0,C27&gt;=Parametry!$C$6),0,INDEX(G:G,ROW()+1))</f>
        <v/>
      </c>
      <c r="J27" s="20">
        <f>IF(D27&lt;=0,0,MIN(G27+N(H27),ROUND(D27+F27,2)))</f>
        <v/>
      </c>
      <c r="K27" s="16">
        <f>IF(J27&lt;=0,0,ROUND(MAX(0,J27-F27),2))</f>
        <v/>
      </c>
      <c r="L27" s="20">
        <f>IF(D27&lt;=0,0,ROUND(MAX(0,D27-K27),2))</f>
        <v/>
      </c>
      <c r="M27" s="21">
        <f>IF(L27&lt;=0,0,IFERROR(MATCH(TRUE,INDEX(L27:L327&lt;=0,0),0),301))</f>
        <v/>
      </c>
    </row>
    <row r="28" ht="18" customHeight="1">
      <c r="A28" s="22" t="n">
        <v>26</v>
      </c>
      <c r="B28" s="23">
        <f>IF(C28&lt;=Parametry!$C$6,DATE(Parametry!$C$12+INT((Parametry!$C$13+26-2)/12),MOD(Parametry!$C$13+26-2,12)+1,Parametry!$C$11),"")</f>
        <v/>
      </c>
      <c r="C28" s="24" t="n">
        <v>26</v>
      </c>
      <c r="D28" s="25">
        <f>IF(C28&lt;=Parametry!$C$6,L27,0)</f>
        <v/>
      </c>
      <c r="E28" s="26">
        <f>IF(OR(D28&lt;=0,C28&gt;Parametry!$C$6),0,IF(C28&lt;=Parametry!$C$9+1,Parametry!$C$8,Parametry!$C$10))</f>
        <v/>
      </c>
      <c r="F28" s="25">
        <f>IF(D28&lt;=0,0,ROUND(D28*E28/12,2))</f>
        <v/>
      </c>
      <c r="G28" s="25">
        <f>IF(OR(D28&lt;=0,C28&gt;Parametry!$C$6),0,MIN(IF(C28&lt;=Parametry!$C$9+1,Parametry!$C$7,Parametry!$C$14),ROUND(D28+F28,2)))</f>
        <v/>
      </c>
      <c r="H28" s="18" t="n"/>
      <c r="I28" s="19">
        <f>IF(OR(L28&lt;=0,C28&gt;=Parametry!$C$6),0,INDEX(G:G,ROW()+1))</f>
        <v/>
      </c>
      <c r="J28" s="27">
        <f>IF(D28&lt;=0,0,MIN(G28+N(H28),ROUND(D28+F28,2)))</f>
        <v/>
      </c>
      <c r="K28" s="25">
        <f>IF(J28&lt;=0,0,ROUND(MAX(0,J28-F28),2))</f>
        <v/>
      </c>
      <c r="L28" s="27">
        <f>IF(D28&lt;=0,0,ROUND(MAX(0,D28-K28),2))</f>
        <v/>
      </c>
      <c r="M28" s="28">
        <f>IF(L28&lt;=0,0,IFERROR(MATCH(TRUE,INDEX(L28:L327&lt;=0,0),0),300))</f>
        <v/>
      </c>
    </row>
    <row r="29" ht="18" customHeight="1">
      <c r="A29" s="13" t="n">
        <v>27</v>
      </c>
      <c r="B29" s="14">
        <f>IF(C29&lt;=Parametry!$C$6,DATE(Parametry!$C$12+INT((Parametry!$C$13+27-2)/12),MOD(Parametry!$C$13+27-2,12)+1,Parametry!$C$11),"")</f>
        <v/>
      </c>
      <c r="C29" s="15" t="n">
        <v>27</v>
      </c>
      <c r="D29" s="16">
        <f>IF(C29&lt;=Parametry!$C$6,L28,0)</f>
        <v/>
      </c>
      <c r="E29" s="17">
        <f>IF(OR(D29&lt;=0,C29&gt;Parametry!$C$6),0,IF(C29&lt;=Parametry!$C$9+1,Parametry!$C$8,Parametry!$C$10))</f>
        <v/>
      </c>
      <c r="F29" s="16">
        <f>IF(D29&lt;=0,0,ROUND(D29*E29/12,2))</f>
        <v/>
      </c>
      <c r="G29" s="16">
        <f>IF(OR(D29&lt;=0,C29&gt;Parametry!$C$6),0,MIN(IF(C29&lt;=Parametry!$C$9+1,Parametry!$C$7,Parametry!$C$14),ROUND(D29+F29,2)))</f>
        <v/>
      </c>
      <c r="H29" s="18" t="n"/>
      <c r="I29" s="19">
        <f>IF(OR(L29&lt;=0,C29&gt;=Parametry!$C$6),0,INDEX(G:G,ROW()+1))</f>
        <v/>
      </c>
      <c r="J29" s="20">
        <f>IF(D29&lt;=0,0,MIN(G29+N(H29),ROUND(D29+F29,2)))</f>
        <v/>
      </c>
      <c r="K29" s="16">
        <f>IF(J29&lt;=0,0,ROUND(MAX(0,J29-F29),2))</f>
        <v/>
      </c>
      <c r="L29" s="20">
        <f>IF(D29&lt;=0,0,ROUND(MAX(0,D29-K29),2))</f>
        <v/>
      </c>
      <c r="M29" s="21">
        <f>IF(L29&lt;=0,0,IFERROR(MATCH(TRUE,INDEX(L29:L327&lt;=0,0),0),299))</f>
        <v/>
      </c>
    </row>
    <row r="30" ht="18" customHeight="1">
      <c r="A30" s="22" t="n">
        <v>28</v>
      </c>
      <c r="B30" s="23">
        <f>IF(C30&lt;=Parametry!$C$6,DATE(Parametry!$C$12+INT((Parametry!$C$13+28-2)/12),MOD(Parametry!$C$13+28-2,12)+1,Parametry!$C$11),"")</f>
        <v/>
      </c>
      <c r="C30" s="24" t="n">
        <v>28</v>
      </c>
      <c r="D30" s="25">
        <f>IF(C30&lt;=Parametry!$C$6,L29,0)</f>
        <v/>
      </c>
      <c r="E30" s="26">
        <f>IF(OR(D30&lt;=0,C30&gt;Parametry!$C$6),0,IF(C30&lt;=Parametry!$C$9+1,Parametry!$C$8,Parametry!$C$10))</f>
        <v/>
      </c>
      <c r="F30" s="25">
        <f>IF(D30&lt;=0,0,ROUND(D30*E30/12,2))</f>
        <v/>
      </c>
      <c r="G30" s="25">
        <f>IF(OR(D30&lt;=0,C30&gt;Parametry!$C$6),0,MIN(IF(C30&lt;=Parametry!$C$9+1,Parametry!$C$7,Parametry!$C$14),ROUND(D30+F30,2)))</f>
        <v/>
      </c>
      <c r="H30" s="18" t="n"/>
      <c r="I30" s="19">
        <f>IF(OR(L30&lt;=0,C30&gt;=Parametry!$C$6),0,INDEX(G:G,ROW()+1))</f>
        <v/>
      </c>
      <c r="J30" s="27">
        <f>IF(D30&lt;=0,0,MIN(G30+N(H30),ROUND(D30+F30,2)))</f>
        <v/>
      </c>
      <c r="K30" s="25">
        <f>IF(J30&lt;=0,0,ROUND(MAX(0,J30-F30),2))</f>
        <v/>
      </c>
      <c r="L30" s="27">
        <f>IF(D30&lt;=0,0,ROUND(MAX(0,D30-K30),2))</f>
        <v/>
      </c>
      <c r="M30" s="28">
        <f>IF(L30&lt;=0,0,IFERROR(MATCH(TRUE,INDEX(L30:L327&lt;=0,0),0),298))</f>
        <v/>
      </c>
    </row>
    <row r="31" ht="18" customHeight="1">
      <c r="A31" s="13" t="n">
        <v>29</v>
      </c>
      <c r="B31" s="14">
        <f>IF(C31&lt;=Parametry!$C$6,DATE(Parametry!$C$12+INT((Parametry!$C$13+29-2)/12),MOD(Parametry!$C$13+29-2,12)+1,Parametry!$C$11),"")</f>
        <v/>
      </c>
      <c r="C31" s="15" t="n">
        <v>29</v>
      </c>
      <c r="D31" s="16">
        <f>IF(C31&lt;=Parametry!$C$6,L30,0)</f>
        <v/>
      </c>
      <c r="E31" s="17">
        <f>IF(OR(D31&lt;=0,C31&gt;Parametry!$C$6),0,IF(C31&lt;=Parametry!$C$9+1,Parametry!$C$8,Parametry!$C$10))</f>
        <v/>
      </c>
      <c r="F31" s="16">
        <f>IF(D31&lt;=0,0,ROUND(D31*E31/12,2))</f>
        <v/>
      </c>
      <c r="G31" s="16">
        <f>IF(OR(D31&lt;=0,C31&gt;Parametry!$C$6),0,MIN(IF(C31&lt;=Parametry!$C$9+1,Parametry!$C$7,Parametry!$C$14),ROUND(D31+F31,2)))</f>
        <v/>
      </c>
      <c r="H31" s="18" t="n"/>
      <c r="I31" s="19">
        <f>IF(OR(L31&lt;=0,C31&gt;=Parametry!$C$6),0,INDEX(G:G,ROW()+1))</f>
        <v/>
      </c>
      <c r="J31" s="20">
        <f>IF(D31&lt;=0,0,MIN(G31+N(H31),ROUND(D31+F31,2)))</f>
        <v/>
      </c>
      <c r="K31" s="16">
        <f>IF(J31&lt;=0,0,ROUND(MAX(0,J31-F31),2))</f>
        <v/>
      </c>
      <c r="L31" s="20">
        <f>IF(D31&lt;=0,0,ROUND(MAX(0,D31-K31),2))</f>
        <v/>
      </c>
      <c r="M31" s="21">
        <f>IF(L31&lt;=0,0,IFERROR(MATCH(TRUE,INDEX(L31:L327&lt;=0,0),0),297))</f>
        <v/>
      </c>
    </row>
    <row r="32" ht="18" customHeight="1">
      <c r="A32" s="22" t="n">
        <v>30</v>
      </c>
      <c r="B32" s="23">
        <f>IF(C32&lt;=Parametry!$C$6,DATE(Parametry!$C$12+INT((Parametry!$C$13+30-2)/12),MOD(Parametry!$C$13+30-2,12)+1,Parametry!$C$11),"")</f>
        <v/>
      </c>
      <c r="C32" s="24" t="n">
        <v>30</v>
      </c>
      <c r="D32" s="25">
        <f>IF(C32&lt;=Parametry!$C$6,L31,0)</f>
        <v/>
      </c>
      <c r="E32" s="26">
        <f>IF(OR(D32&lt;=0,C32&gt;Parametry!$C$6),0,IF(C32&lt;=Parametry!$C$9+1,Parametry!$C$8,Parametry!$C$10))</f>
        <v/>
      </c>
      <c r="F32" s="25">
        <f>IF(D32&lt;=0,0,ROUND(D32*E32/12,2))</f>
        <v/>
      </c>
      <c r="G32" s="25">
        <f>IF(OR(D32&lt;=0,C32&gt;Parametry!$C$6),0,MIN(IF(C32&lt;=Parametry!$C$9+1,Parametry!$C$7,Parametry!$C$14),ROUND(D32+F32,2)))</f>
        <v/>
      </c>
      <c r="H32" s="18" t="n"/>
      <c r="I32" s="19">
        <f>IF(OR(L32&lt;=0,C32&gt;=Parametry!$C$6),0,INDEX(G:G,ROW()+1))</f>
        <v/>
      </c>
      <c r="J32" s="27">
        <f>IF(D32&lt;=0,0,MIN(G32+N(H32),ROUND(D32+F32,2)))</f>
        <v/>
      </c>
      <c r="K32" s="25">
        <f>IF(J32&lt;=0,0,ROUND(MAX(0,J32-F32),2))</f>
        <v/>
      </c>
      <c r="L32" s="27">
        <f>IF(D32&lt;=0,0,ROUND(MAX(0,D32-K32),2))</f>
        <v/>
      </c>
      <c r="M32" s="28">
        <f>IF(L32&lt;=0,0,IFERROR(MATCH(TRUE,INDEX(L32:L327&lt;=0,0),0),296))</f>
        <v/>
      </c>
    </row>
    <row r="33" ht="18" customHeight="1">
      <c r="A33" s="13" t="n">
        <v>31</v>
      </c>
      <c r="B33" s="14">
        <f>IF(C33&lt;=Parametry!$C$6,DATE(Parametry!$C$12+INT((Parametry!$C$13+31-2)/12),MOD(Parametry!$C$13+31-2,12)+1,Parametry!$C$11),"")</f>
        <v/>
      </c>
      <c r="C33" s="15" t="n">
        <v>31</v>
      </c>
      <c r="D33" s="16">
        <f>IF(C33&lt;=Parametry!$C$6,L32,0)</f>
        <v/>
      </c>
      <c r="E33" s="17">
        <f>IF(OR(D33&lt;=0,C33&gt;Parametry!$C$6),0,IF(C33&lt;=Parametry!$C$9+1,Parametry!$C$8,Parametry!$C$10))</f>
        <v/>
      </c>
      <c r="F33" s="16">
        <f>IF(D33&lt;=0,0,ROUND(D33*E33/12,2))</f>
        <v/>
      </c>
      <c r="G33" s="16">
        <f>IF(OR(D33&lt;=0,C33&gt;Parametry!$C$6),0,MIN(IF(C33&lt;=Parametry!$C$9+1,Parametry!$C$7,Parametry!$C$14),ROUND(D33+F33,2)))</f>
        <v/>
      </c>
      <c r="H33" s="18" t="n"/>
      <c r="I33" s="19">
        <f>IF(OR(L33&lt;=0,C33&gt;=Parametry!$C$6),0,INDEX(G:G,ROW()+1))</f>
        <v/>
      </c>
      <c r="J33" s="20">
        <f>IF(D33&lt;=0,0,MIN(G33+N(H33),ROUND(D33+F33,2)))</f>
        <v/>
      </c>
      <c r="K33" s="16">
        <f>IF(J33&lt;=0,0,ROUND(MAX(0,J33-F33),2))</f>
        <v/>
      </c>
      <c r="L33" s="20">
        <f>IF(D33&lt;=0,0,ROUND(MAX(0,D33-K33),2))</f>
        <v/>
      </c>
      <c r="M33" s="21">
        <f>IF(L33&lt;=0,0,IFERROR(MATCH(TRUE,INDEX(L33:L327&lt;=0,0),0),295))</f>
        <v/>
      </c>
    </row>
    <row r="34" ht="18" customHeight="1">
      <c r="A34" s="22" t="n">
        <v>32</v>
      </c>
      <c r="B34" s="23">
        <f>IF(C34&lt;=Parametry!$C$6,DATE(Parametry!$C$12+INT((Parametry!$C$13+32-2)/12),MOD(Parametry!$C$13+32-2,12)+1,Parametry!$C$11),"")</f>
        <v/>
      </c>
      <c r="C34" s="24" t="n">
        <v>32</v>
      </c>
      <c r="D34" s="25">
        <f>IF(C34&lt;=Parametry!$C$6,L33,0)</f>
        <v/>
      </c>
      <c r="E34" s="26">
        <f>IF(OR(D34&lt;=0,C34&gt;Parametry!$C$6),0,IF(C34&lt;=Parametry!$C$9+1,Parametry!$C$8,Parametry!$C$10))</f>
        <v/>
      </c>
      <c r="F34" s="25">
        <f>IF(D34&lt;=0,0,ROUND(D34*E34/12,2))</f>
        <v/>
      </c>
      <c r="G34" s="25">
        <f>IF(OR(D34&lt;=0,C34&gt;Parametry!$C$6),0,MIN(IF(C34&lt;=Parametry!$C$9+1,Parametry!$C$7,Parametry!$C$14),ROUND(D34+F34,2)))</f>
        <v/>
      </c>
      <c r="H34" s="18" t="n"/>
      <c r="I34" s="19">
        <f>IF(OR(L34&lt;=0,C34&gt;=Parametry!$C$6),0,INDEX(G:G,ROW()+1))</f>
        <v/>
      </c>
      <c r="J34" s="27">
        <f>IF(D34&lt;=0,0,MIN(G34+N(H34),ROUND(D34+F34,2)))</f>
        <v/>
      </c>
      <c r="K34" s="25">
        <f>IF(J34&lt;=0,0,ROUND(MAX(0,J34-F34),2))</f>
        <v/>
      </c>
      <c r="L34" s="27">
        <f>IF(D34&lt;=0,0,ROUND(MAX(0,D34-K34),2))</f>
        <v/>
      </c>
      <c r="M34" s="28">
        <f>IF(L34&lt;=0,0,IFERROR(MATCH(TRUE,INDEX(L34:L327&lt;=0,0),0),294))</f>
        <v/>
      </c>
    </row>
    <row r="35" ht="18" customHeight="1">
      <c r="A35" s="13" t="n">
        <v>33</v>
      </c>
      <c r="B35" s="14">
        <f>IF(C35&lt;=Parametry!$C$6,DATE(Parametry!$C$12+INT((Parametry!$C$13+33-2)/12),MOD(Parametry!$C$13+33-2,12)+1,Parametry!$C$11),"")</f>
        <v/>
      </c>
      <c r="C35" s="15" t="n">
        <v>33</v>
      </c>
      <c r="D35" s="16">
        <f>IF(C35&lt;=Parametry!$C$6,L34,0)</f>
        <v/>
      </c>
      <c r="E35" s="17">
        <f>IF(OR(D35&lt;=0,C35&gt;Parametry!$C$6),0,IF(C35&lt;=Parametry!$C$9+1,Parametry!$C$8,Parametry!$C$10))</f>
        <v/>
      </c>
      <c r="F35" s="16">
        <f>IF(D35&lt;=0,0,ROUND(D35*E35/12,2))</f>
        <v/>
      </c>
      <c r="G35" s="16">
        <f>IF(OR(D35&lt;=0,C35&gt;Parametry!$C$6),0,MIN(IF(C35&lt;=Parametry!$C$9+1,Parametry!$C$7,Parametry!$C$14),ROUND(D35+F35,2)))</f>
        <v/>
      </c>
      <c r="H35" s="18" t="n"/>
      <c r="I35" s="19">
        <f>IF(OR(L35&lt;=0,C35&gt;=Parametry!$C$6),0,INDEX(G:G,ROW()+1))</f>
        <v/>
      </c>
      <c r="J35" s="20">
        <f>IF(D35&lt;=0,0,MIN(G35+N(H35),ROUND(D35+F35,2)))</f>
        <v/>
      </c>
      <c r="K35" s="16">
        <f>IF(J35&lt;=0,0,ROUND(MAX(0,J35-F35),2))</f>
        <v/>
      </c>
      <c r="L35" s="20">
        <f>IF(D35&lt;=0,0,ROUND(MAX(0,D35-K35),2))</f>
        <v/>
      </c>
      <c r="M35" s="21">
        <f>IF(L35&lt;=0,0,IFERROR(MATCH(TRUE,INDEX(L35:L327&lt;=0,0),0),293))</f>
        <v/>
      </c>
    </row>
    <row r="36" ht="18" customHeight="1">
      <c r="A36" s="22" t="n">
        <v>34</v>
      </c>
      <c r="B36" s="23">
        <f>IF(C36&lt;=Parametry!$C$6,DATE(Parametry!$C$12+INT((Parametry!$C$13+34-2)/12),MOD(Parametry!$C$13+34-2,12)+1,Parametry!$C$11),"")</f>
        <v/>
      </c>
      <c r="C36" s="24" t="n">
        <v>34</v>
      </c>
      <c r="D36" s="25">
        <f>IF(C36&lt;=Parametry!$C$6,L35,0)</f>
        <v/>
      </c>
      <c r="E36" s="26">
        <f>IF(OR(D36&lt;=0,C36&gt;Parametry!$C$6),0,IF(C36&lt;=Parametry!$C$9+1,Parametry!$C$8,Parametry!$C$10))</f>
        <v/>
      </c>
      <c r="F36" s="25">
        <f>IF(D36&lt;=0,0,ROUND(D36*E36/12,2))</f>
        <v/>
      </c>
      <c r="G36" s="25">
        <f>IF(OR(D36&lt;=0,C36&gt;Parametry!$C$6),0,MIN(IF(C36&lt;=Parametry!$C$9+1,Parametry!$C$7,Parametry!$C$14),ROUND(D36+F36,2)))</f>
        <v/>
      </c>
      <c r="H36" s="18" t="n"/>
      <c r="I36" s="19">
        <f>IF(OR(L36&lt;=0,C36&gt;=Parametry!$C$6),0,INDEX(G:G,ROW()+1))</f>
        <v/>
      </c>
      <c r="J36" s="27">
        <f>IF(D36&lt;=0,0,MIN(G36+N(H36),ROUND(D36+F36,2)))</f>
        <v/>
      </c>
      <c r="K36" s="25">
        <f>IF(J36&lt;=0,0,ROUND(MAX(0,J36-F36),2))</f>
        <v/>
      </c>
      <c r="L36" s="27">
        <f>IF(D36&lt;=0,0,ROUND(MAX(0,D36-K36),2))</f>
        <v/>
      </c>
      <c r="M36" s="28">
        <f>IF(L36&lt;=0,0,IFERROR(MATCH(TRUE,INDEX(L36:L327&lt;=0,0),0),292))</f>
        <v/>
      </c>
    </row>
    <row r="37" ht="18" customHeight="1">
      <c r="A37" s="13" t="n">
        <v>35</v>
      </c>
      <c r="B37" s="14">
        <f>IF(C37&lt;=Parametry!$C$6,DATE(Parametry!$C$12+INT((Parametry!$C$13+35-2)/12),MOD(Parametry!$C$13+35-2,12)+1,Parametry!$C$11),"")</f>
        <v/>
      </c>
      <c r="C37" s="15" t="n">
        <v>35</v>
      </c>
      <c r="D37" s="16">
        <f>IF(C37&lt;=Parametry!$C$6,L36,0)</f>
        <v/>
      </c>
      <c r="E37" s="17">
        <f>IF(OR(D37&lt;=0,C37&gt;Parametry!$C$6),0,IF(C37&lt;=Parametry!$C$9+1,Parametry!$C$8,Parametry!$C$10))</f>
        <v/>
      </c>
      <c r="F37" s="16">
        <f>IF(D37&lt;=0,0,ROUND(D37*E37/12,2))</f>
        <v/>
      </c>
      <c r="G37" s="16">
        <f>IF(OR(D37&lt;=0,C37&gt;Parametry!$C$6),0,MIN(IF(C37&lt;=Parametry!$C$9+1,Parametry!$C$7,Parametry!$C$14),ROUND(D37+F37,2)))</f>
        <v/>
      </c>
      <c r="H37" s="18" t="n"/>
      <c r="I37" s="19">
        <f>IF(OR(L37&lt;=0,C37&gt;=Parametry!$C$6),0,INDEX(G:G,ROW()+1))</f>
        <v/>
      </c>
      <c r="J37" s="20">
        <f>IF(D37&lt;=0,0,MIN(G37+N(H37),ROUND(D37+F37,2)))</f>
        <v/>
      </c>
      <c r="K37" s="16">
        <f>IF(J37&lt;=0,0,ROUND(MAX(0,J37-F37),2))</f>
        <v/>
      </c>
      <c r="L37" s="20">
        <f>IF(D37&lt;=0,0,ROUND(MAX(0,D37-K37),2))</f>
        <v/>
      </c>
      <c r="M37" s="21">
        <f>IF(L37&lt;=0,0,IFERROR(MATCH(TRUE,INDEX(L37:L327&lt;=0,0),0),291))</f>
        <v/>
      </c>
    </row>
    <row r="38" ht="18" customHeight="1">
      <c r="A38" s="22" t="n">
        <v>36</v>
      </c>
      <c r="B38" s="23">
        <f>IF(C38&lt;=Parametry!$C$6,DATE(Parametry!$C$12+INT((Parametry!$C$13+36-2)/12),MOD(Parametry!$C$13+36-2,12)+1,Parametry!$C$11),"")</f>
        <v/>
      </c>
      <c r="C38" s="24" t="n">
        <v>36</v>
      </c>
      <c r="D38" s="25">
        <f>IF(C38&lt;=Parametry!$C$6,L37,0)</f>
        <v/>
      </c>
      <c r="E38" s="26">
        <f>IF(OR(D38&lt;=0,C38&gt;Parametry!$C$6),0,IF(C38&lt;=Parametry!$C$9+1,Parametry!$C$8,Parametry!$C$10))</f>
        <v/>
      </c>
      <c r="F38" s="25">
        <f>IF(D38&lt;=0,0,ROUND(D38*E38/12,2))</f>
        <v/>
      </c>
      <c r="G38" s="25">
        <f>IF(OR(D38&lt;=0,C38&gt;Parametry!$C$6),0,MIN(IF(C38&lt;=Parametry!$C$9+1,Parametry!$C$7,Parametry!$C$14),ROUND(D38+F38,2)))</f>
        <v/>
      </c>
      <c r="H38" s="18" t="n"/>
      <c r="I38" s="19">
        <f>IF(OR(L38&lt;=0,C38&gt;=Parametry!$C$6),0,INDEX(G:G,ROW()+1))</f>
        <v/>
      </c>
      <c r="J38" s="27">
        <f>IF(D38&lt;=0,0,MIN(G38+N(H38),ROUND(D38+F38,2)))</f>
        <v/>
      </c>
      <c r="K38" s="25">
        <f>IF(J38&lt;=0,0,ROUND(MAX(0,J38-F38),2))</f>
        <v/>
      </c>
      <c r="L38" s="27">
        <f>IF(D38&lt;=0,0,ROUND(MAX(0,D38-K38),2))</f>
        <v/>
      </c>
      <c r="M38" s="28">
        <f>IF(L38&lt;=0,0,IFERROR(MATCH(TRUE,INDEX(L38:L327&lt;=0,0),0),290))</f>
        <v/>
      </c>
    </row>
    <row r="39" ht="18" customHeight="1">
      <c r="A39" s="13" t="n">
        <v>37</v>
      </c>
      <c r="B39" s="14">
        <f>IF(C39&lt;=Parametry!$C$6,DATE(Parametry!$C$12+INT((Parametry!$C$13+37-2)/12),MOD(Parametry!$C$13+37-2,12)+1,Parametry!$C$11),"")</f>
        <v/>
      </c>
      <c r="C39" s="15" t="n">
        <v>37</v>
      </c>
      <c r="D39" s="16">
        <f>IF(C39&lt;=Parametry!$C$6,L38,0)</f>
        <v/>
      </c>
      <c r="E39" s="17">
        <f>IF(OR(D39&lt;=0,C39&gt;Parametry!$C$6),0,IF(C39&lt;=Parametry!$C$9+1,Parametry!$C$8,Parametry!$C$10))</f>
        <v/>
      </c>
      <c r="F39" s="16">
        <f>IF(D39&lt;=0,0,ROUND(D39*E39/12,2))</f>
        <v/>
      </c>
      <c r="G39" s="16">
        <f>IF(OR(D39&lt;=0,C39&gt;Parametry!$C$6),0,MIN(IF(C39&lt;=Parametry!$C$9+1,Parametry!$C$7,Parametry!$C$14),ROUND(D39+F39,2)))</f>
        <v/>
      </c>
      <c r="H39" s="18" t="n"/>
      <c r="I39" s="19">
        <f>IF(OR(L39&lt;=0,C39&gt;=Parametry!$C$6),0,INDEX(G:G,ROW()+1))</f>
        <v/>
      </c>
      <c r="J39" s="20">
        <f>IF(D39&lt;=0,0,MIN(G39+N(H39),ROUND(D39+F39,2)))</f>
        <v/>
      </c>
      <c r="K39" s="16">
        <f>IF(J39&lt;=0,0,ROUND(MAX(0,J39-F39),2))</f>
        <v/>
      </c>
      <c r="L39" s="20">
        <f>IF(D39&lt;=0,0,ROUND(MAX(0,D39-K39),2))</f>
        <v/>
      </c>
      <c r="M39" s="21">
        <f>IF(L39&lt;=0,0,IFERROR(MATCH(TRUE,INDEX(L39:L327&lt;=0,0),0),289))</f>
        <v/>
      </c>
    </row>
    <row r="40" ht="18" customHeight="1">
      <c r="A40" s="22" t="n">
        <v>38</v>
      </c>
      <c r="B40" s="23">
        <f>IF(C40&lt;=Parametry!$C$6,DATE(Parametry!$C$12+INT((Parametry!$C$13+38-2)/12),MOD(Parametry!$C$13+38-2,12)+1,Parametry!$C$11),"")</f>
        <v/>
      </c>
      <c r="C40" s="24" t="n">
        <v>38</v>
      </c>
      <c r="D40" s="25">
        <f>IF(C40&lt;=Parametry!$C$6,L39,0)</f>
        <v/>
      </c>
      <c r="E40" s="26">
        <f>IF(OR(D40&lt;=0,C40&gt;Parametry!$C$6),0,IF(C40&lt;=Parametry!$C$9+1,Parametry!$C$8,Parametry!$C$10))</f>
        <v/>
      </c>
      <c r="F40" s="25">
        <f>IF(D40&lt;=0,0,ROUND(D40*E40/12,2))</f>
        <v/>
      </c>
      <c r="G40" s="25">
        <f>IF(OR(D40&lt;=0,C40&gt;Parametry!$C$6),0,MIN(IF(C40&lt;=Parametry!$C$9+1,Parametry!$C$7,Parametry!$C$14),ROUND(D40+F40,2)))</f>
        <v/>
      </c>
      <c r="H40" s="18" t="n"/>
      <c r="I40" s="19">
        <f>IF(OR(L40&lt;=0,C40&gt;=Parametry!$C$6),0,INDEX(G:G,ROW()+1))</f>
        <v/>
      </c>
      <c r="J40" s="27">
        <f>IF(D40&lt;=0,0,MIN(G40+N(H40),ROUND(D40+F40,2)))</f>
        <v/>
      </c>
      <c r="K40" s="25">
        <f>IF(J40&lt;=0,0,ROUND(MAX(0,J40-F40),2))</f>
        <v/>
      </c>
      <c r="L40" s="27">
        <f>IF(D40&lt;=0,0,ROUND(MAX(0,D40-K40),2))</f>
        <v/>
      </c>
      <c r="M40" s="28">
        <f>IF(L40&lt;=0,0,IFERROR(MATCH(TRUE,INDEX(L40:L327&lt;=0,0),0),288))</f>
        <v/>
      </c>
    </row>
    <row r="41" ht="18" customHeight="1">
      <c r="A41" s="13" t="n">
        <v>39</v>
      </c>
      <c r="B41" s="14">
        <f>IF(C41&lt;=Parametry!$C$6,DATE(Parametry!$C$12+INT((Parametry!$C$13+39-2)/12),MOD(Parametry!$C$13+39-2,12)+1,Parametry!$C$11),"")</f>
        <v/>
      </c>
      <c r="C41" s="15" t="n">
        <v>39</v>
      </c>
      <c r="D41" s="16">
        <f>IF(C41&lt;=Parametry!$C$6,L40,0)</f>
        <v/>
      </c>
      <c r="E41" s="17">
        <f>IF(OR(D41&lt;=0,C41&gt;Parametry!$C$6),0,IF(C41&lt;=Parametry!$C$9+1,Parametry!$C$8,Parametry!$C$10))</f>
        <v/>
      </c>
      <c r="F41" s="16">
        <f>IF(D41&lt;=0,0,ROUND(D41*E41/12,2))</f>
        <v/>
      </c>
      <c r="G41" s="16">
        <f>IF(OR(D41&lt;=0,C41&gt;Parametry!$C$6),0,MIN(IF(C41&lt;=Parametry!$C$9+1,Parametry!$C$7,Parametry!$C$14),ROUND(D41+F41,2)))</f>
        <v/>
      </c>
      <c r="H41" s="18" t="n"/>
      <c r="I41" s="19">
        <f>IF(OR(L41&lt;=0,C41&gt;=Parametry!$C$6),0,INDEX(G:G,ROW()+1))</f>
        <v/>
      </c>
      <c r="J41" s="20">
        <f>IF(D41&lt;=0,0,MIN(G41+N(H41),ROUND(D41+F41,2)))</f>
        <v/>
      </c>
      <c r="K41" s="16">
        <f>IF(J41&lt;=0,0,ROUND(MAX(0,J41-F41),2))</f>
        <v/>
      </c>
      <c r="L41" s="20">
        <f>IF(D41&lt;=0,0,ROUND(MAX(0,D41-K41),2))</f>
        <v/>
      </c>
      <c r="M41" s="21">
        <f>IF(L41&lt;=0,0,IFERROR(MATCH(TRUE,INDEX(L41:L327&lt;=0,0),0),287))</f>
        <v/>
      </c>
    </row>
    <row r="42" ht="18" customHeight="1">
      <c r="A42" s="22" t="n">
        <v>40</v>
      </c>
      <c r="B42" s="23">
        <f>IF(C42&lt;=Parametry!$C$6,DATE(Parametry!$C$12+INT((Parametry!$C$13+40-2)/12),MOD(Parametry!$C$13+40-2,12)+1,Parametry!$C$11),"")</f>
        <v/>
      </c>
      <c r="C42" s="24" t="n">
        <v>40</v>
      </c>
      <c r="D42" s="25">
        <f>IF(C42&lt;=Parametry!$C$6,L41,0)</f>
        <v/>
      </c>
      <c r="E42" s="26">
        <f>IF(OR(D42&lt;=0,C42&gt;Parametry!$C$6),0,IF(C42&lt;=Parametry!$C$9+1,Parametry!$C$8,Parametry!$C$10))</f>
        <v/>
      </c>
      <c r="F42" s="25">
        <f>IF(D42&lt;=0,0,ROUND(D42*E42/12,2))</f>
        <v/>
      </c>
      <c r="G42" s="25">
        <f>IF(OR(D42&lt;=0,C42&gt;Parametry!$C$6),0,MIN(IF(C42&lt;=Parametry!$C$9+1,Parametry!$C$7,Parametry!$C$14),ROUND(D42+F42,2)))</f>
        <v/>
      </c>
      <c r="H42" s="18" t="n"/>
      <c r="I42" s="19">
        <f>IF(OR(L42&lt;=0,C42&gt;=Parametry!$C$6),0,INDEX(G:G,ROW()+1))</f>
        <v/>
      </c>
      <c r="J42" s="27">
        <f>IF(D42&lt;=0,0,MIN(G42+N(H42),ROUND(D42+F42,2)))</f>
        <v/>
      </c>
      <c r="K42" s="25">
        <f>IF(J42&lt;=0,0,ROUND(MAX(0,J42-F42),2))</f>
        <v/>
      </c>
      <c r="L42" s="27">
        <f>IF(D42&lt;=0,0,ROUND(MAX(0,D42-K42),2))</f>
        <v/>
      </c>
      <c r="M42" s="28">
        <f>IF(L42&lt;=0,0,IFERROR(MATCH(TRUE,INDEX(L42:L327&lt;=0,0),0),286))</f>
        <v/>
      </c>
    </row>
    <row r="43" ht="18" customHeight="1">
      <c r="A43" s="13" t="n">
        <v>41</v>
      </c>
      <c r="B43" s="14">
        <f>IF(C43&lt;=Parametry!$C$6,DATE(Parametry!$C$12+INT((Parametry!$C$13+41-2)/12),MOD(Parametry!$C$13+41-2,12)+1,Parametry!$C$11),"")</f>
        <v/>
      </c>
      <c r="C43" s="15" t="n">
        <v>41</v>
      </c>
      <c r="D43" s="16">
        <f>IF(C43&lt;=Parametry!$C$6,L42,0)</f>
        <v/>
      </c>
      <c r="E43" s="17">
        <f>IF(OR(D43&lt;=0,C43&gt;Parametry!$C$6),0,IF(C43&lt;=Parametry!$C$9+1,Parametry!$C$8,Parametry!$C$10))</f>
        <v/>
      </c>
      <c r="F43" s="16">
        <f>IF(D43&lt;=0,0,ROUND(D43*E43/12,2))</f>
        <v/>
      </c>
      <c r="G43" s="16">
        <f>IF(OR(D43&lt;=0,C43&gt;Parametry!$C$6),0,MIN(IF(C43&lt;=Parametry!$C$9+1,Parametry!$C$7,Parametry!$C$14),ROUND(D43+F43,2)))</f>
        <v/>
      </c>
      <c r="H43" s="18" t="n"/>
      <c r="I43" s="19">
        <f>IF(OR(L43&lt;=0,C43&gt;=Parametry!$C$6),0,INDEX(G:G,ROW()+1))</f>
        <v/>
      </c>
      <c r="J43" s="20">
        <f>IF(D43&lt;=0,0,MIN(G43+N(H43),ROUND(D43+F43,2)))</f>
        <v/>
      </c>
      <c r="K43" s="16">
        <f>IF(J43&lt;=0,0,ROUND(MAX(0,J43-F43),2))</f>
        <v/>
      </c>
      <c r="L43" s="20">
        <f>IF(D43&lt;=0,0,ROUND(MAX(0,D43-K43),2))</f>
        <v/>
      </c>
      <c r="M43" s="21">
        <f>IF(L43&lt;=0,0,IFERROR(MATCH(TRUE,INDEX(L43:L327&lt;=0,0),0),285))</f>
        <v/>
      </c>
    </row>
    <row r="44" ht="18" customHeight="1">
      <c r="A44" s="22" t="n">
        <v>42</v>
      </c>
      <c r="B44" s="23">
        <f>IF(C44&lt;=Parametry!$C$6,DATE(Parametry!$C$12+INT((Parametry!$C$13+42-2)/12),MOD(Parametry!$C$13+42-2,12)+1,Parametry!$C$11),"")</f>
        <v/>
      </c>
      <c r="C44" s="24" t="n">
        <v>42</v>
      </c>
      <c r="D44" s="25">
        <f>IF(C44&lt;=Parametry!$C$6,L43,0)</f>
        <v/>
      </c>
      <c r="E44" s="26">
        <f>IF(OR(D44&lt;=0,C44&gt;Parametry!$C$6),0,IF(C44&lt;=Parametry!$C$9+1,Parametry!$C$8,Parametry!$C$10))</f>
        <v/>
      </c>
      <c r="F44" s="25">
        <f>IF(D44&lt;=0,0,ROUND(D44*E44/12,2))</f>
        <v/>
      </c>
      <c r="G44" s="25">
        <f>IF(OR(D44&lt;=0,C44&gt;Parametry!$C$6),0,MIN(IF(C44&lt;=Parametry!$C$9+1,Parametry!$C$7,Parametry!$C$14),ROUND(D44+F44,2)))</f>
        <v/>
      </c>
      <c r="H44" s="18" t="n"/>
      <c r="I44" s="19">
        <f>IF(OR(L44&lt;=0,C44&gt;=Parametry!$C$6),0,INDEX(G:G,ROW()+1))</f>
        <v/>
      </c>
      <c r="J44" s="27">
        <f>IF(D44&lt;=0,0,MIN(G44+N(H44),ROUND(D44+F44,2)))</f>
        <v/>
      </c>
      <c r="K44" s="25">
        <f>IF(J44&lt;=0,0,ROUND(MAX(0,J44-F44),2))</f>
        <v/>
      </c>
      <c r="L44" s="27">
        <f>IF(D44&lt;=0,0,ROUND(MAX(0,D44-K44),2))</f>
        <v/>
      </c>
      <c r="M44" s="28">
        <f>IF(L44&lt;=0,0,IFERROR(MATCH(TRUE,INDEX(L44:L327&lt;=0,0),0),284))</f>
        <v/>
      </c>
    </row>
    <row r="45" ht="18" customHeight="1">
      <c r="A45" s="13" t="n">
        <v>43</v>
      </c>
      <c r="B45" s="14">
        <f>IF(C45&lt;=Parametry!$C$6,DATE(Parametry!$C$12+INT((Parametry!$C$13+43-2)/12),MOD(Parametry!$C$13+43-2,12)+1,Parametry!$C$11),"")</f>
        <v/>
      </c>
      <c r="C45" s="15" t="n">
        <v>43</v>
      </c>
      <c r="D45" s="16">
        <f>IF(C45&lt;=Parametry!$C$6,L44,0)</f>
        <v/>
      </c>
      <c r="E45" s="17">
        <f>IF(OR(D45&lt;=0,C45&gt;Parametry!$C$6),0,IF(C45&lt;=Parametry!$C$9+1,Parametry!$C$8,Parametry!$C$10))</f>
        <v/>
      </c>
      <c r="F45" s="16">
        <f>IF(D45&lt;=0,0,ROUND(D45*E45/12,2))</f>
        <v/>
      </c>
      <c r="G45" s="16">
        <f>IF(OR(D45&lt;=0,C45&gt;Parametry!$C$6),0,MIN(IF(C45&lt;=Parametry!$C$9+1,Parametry!$C$7,Parametry!$C$14),ROUND(D45+F45,2)))</f>
        <v/>
      </c>
      <c r="H45" s="18" t="n"/>
      <c r="I45" s="19">
        <f>IF(OR(L45&lt;=0,C45&gt;=Parametry!$C$6),0,INDEX(G:G,ROW()+1))</f>
        <v/>
      </c>
      <c r="J45" s="20">
        <f>IF(D45&lt;=0,0,MIN(G45+N(H45),ROUND(D45+F45,2)))</f>
        <v/>
      </c>
      <c r="K45" s="16">
        <f>IF(J45&lt;=0,0,ROUND(MAX(0,J45-F45),2))</f>
        <v/>
      </c>
      <c r="L45" s="20">
        <f>IF(D45&lt;=0,0,ROUND(MAX(0,D45-K45),2))</f>
        <v/>
      </c>
      <c r="M45" s="21">
        <f>IF(L45&lt;=0,0,IFERROR(MATCH(TRUE,INDEX(L45:L327&lt;=0,0),0),283))</f>
        <v/>
      </c>
    </row>
    <row r="46" ht="18" customHeight="1">
      <c r="A46" s="22" t="n">
        <v>44</v>
      </c>
      <c r="B46" s="23">
        <f>IF(C46&lt;=Parametry!$C$6,DATE(Parametry!$C$12+INT((Parametry!$C$13+44-2)/12),MOD(Parametry!$C$13+44-2,12)+1,Parametry!$C$11),"")</f>
        <v/>
      </c>
      <c r="C46" s="24" t="n">
        <v>44</v>
      </c>
      <c r="D46" s="25">
        <f>IF(C46&lt;=Parametry!$C$6,L45,0)</f>
        <v/>
      </c>
      <c r="E46" s="26">
        <f>IF(OR(D46&lt;=0,C46&gt;Parametry!$C$6),0,IF(C46&lt;=Parametry!$C$9+1,Parametry!$C$8,Parametry!$C$10))</f>
        <v/>
      </c>
      <c r="F46" s="25">
        <f>IF(D46&lt;=0,0,ROUND(D46*E46/12,2))</f>
        <v/>
      </c>
      <c r="G46" s="25">
        <f>IF(OR(D46&lt;=0,C46&gt;Parametry!$C$6),0,MIN(IF(C46&lt;=Parametry!$C$9+1,Parametry!$C$7,Parametry!$C$14),ROUND(D46+F46,2)))</f>
        <v/>
      </c>
      <c r="H46" s="18" t="n"/>
      <c r="I46" s="19">
        <f>IF(OR(L46&lt;=0,C46&gt;=Parametry!$C$6),0,INDEX(G:G,ROW()+1))</f>
        <v/>
      </c>
      <c r="J46" s="27">
        <f>IF(D46&lt;=0,0,MIN(G46+N(H46),ROUND(D46+F46,2)))</f>
        <v/>
      </c>
      <c r="K46" s="25">
        <f>IF(J46&lt;=0,0,ROUND(MAX(0,J46-F46),2))</f>
        <v/>
      </c>
      <c r="L46" s="27">
        <f>IF(D46&lt;=0,0,ROUND(MAX(0,D46-K46),2))</f>
        <v/>
      </c>
      <c r="M46" s="28">
        <f>IF(L46&lt;=0,0,IFERROR(MATCH(TRUE,INDEX(L46:L327&lt;=0,0),0),282))</f>
        <v/>
      </c>
    </row>
    <row r="47" ht="18" customHeight="1">
      <c r="A47" s="13" t="n">
        <v>45</v>
      </c>
      <c r="B47" s="14">
        <f>IF(C47&lt;=Parametry!$C$6,DATE(Parametry!$C$12+INT((Parametry!$C$13+45-2)/12),MOD(Parametry!$C$13+45-2,12)+1,Parametry!$C$11),"")</f>
        <v/>
      </c>
      <c r="C47" s="15" t="n">
        <v>45</v>
      </c>
      <c r="D47" s="16">
        <f>IF(C47&lt;=Parametry!$C$6,L46,0)</f>
        <v/>
      </c>
      <c r="E47" s="17">
        <f>IF(OR(D47&lt;=0,C47&gt;Parametry!$C$6),0,IF(C47&lt;=Parametry!$C$9+1,Parametry!$C$8,Parametry!$C$10))</f>
        <v/>
      </c>
      <c r="F47" s="16">
        <f>IF(D47&lt;=0,0,ROUND(D47*E47/12,2))</f>
        <v/>
      </c>
      <c r="G47" s="16">
        <f>IF(OR(D47&lt;=0,C47&gt;Parametry!$C$6),0,MIN(IF(C47&lt;=Parametry!$C$9+1,Parametry!$C$7,Parametry!$C$14),ROUND(D47+F47,2)))</f>
        <v/>
      </c>
      <c r="H47" s="18" t="n"/>
      <c r="I47" s="19">
        <f>IF(OR(L47&lt;=0,C47&gt;=Parametry!$C$6),0,INDEX(G:G,ROW()+1))</f>
        <v/>
      </c>
      <c r="J47" s="20">
        <f>IF(D47&lt;=0,0,MIN(G47+N(H47),ROUND(D47+F47,2)))</f>
        <v/>
      </c>
      <c r="K47" s="16">
        <f>IF(J47&lt;=0,0,ROUND(MAX(0,J47-F47),2))</f>
        <v/>
      </c>
      <c r="L47" s="20">
        <f>IF(D47&lt;=0,0,ROUND(MAX(0,D47-K47),2))</f>
        <v/>
      </c>
      <c r="M47" s="21">
        <f>IF(L47&lt;=0,0,IFERROR(MATCH(TRUE,INDEX(L47:L327&lt;=0,0),0),281))</f>
        <v/>
      </c>
    </row>
    <row r="48" ht="18" customHeight="1">
      <c r="A48" s="22" t="n">
        <v>46</v>
      </c>
      <c r="B48" s="23">
        <f>IF(C48&lt;=Parametry!$C$6,DATE(Parametry!$C$12+INT((Parametry!$C$13+46-2)/12),MOD(Parametry!$C$13+46-2,12)+1,Parametry!$C$11),"")</f>
        <v/>
      </c>
      <c r="C48" s="24" t="n">
        <v>46</v>
      </c>
      <c r="D48" s="25">
        <f>IF(C48&lt;=Parametry!$C$6,L47,0)</f>
        <v/>
      </c>
      <c r="E48" s="26">
        <f>IF(OR(D48&lt;=0,C48&gt;Parametry!$C$6),0,IF(C48&lt;=Parametry!$C$9+1,Parametry!$C$8,Parametry!$C$10))</f>
        <v/>
      </c>
      <c r="F48" s="25">
        <f>IF(D48&lt;=0,0,ROUND(D48*E48/12,2))</f>
        <v/>
      </c>
      <c r="G48" s="25">
        <f>IF(OR(D48&lt;=0,C48&gt;Parametry!$C$6),0,MIN(IF(C48&lt;=Parametry!$C$9+1,Parametry!$C$7,Parametry!$C$14),ROUND(D48+F48,2)))</f>
        <v/>
      </c>
      <c r="H48" s="18" t="n"/>
      <c r="I48" s="19">
        <f>IF(OR(L48&lt;=0,C48&gt;=Parametry!$C$6),0,INDEX(G:G,ROW()+1))</f>
        <v/>
      </c>
      <c r="J48" s="27">
        <f>IF(D48&lt;=0,0,MIN(G48+N(H48),ROUND(D48+F48,2)))</f>
        <v/>
      </c>
      <c r="K48" s="25">
        <f>IF(J48&lt;=0,0,ROUND(MAX(0,J48-F48),2))</f>
        <v/>
      </c>
      <c r="L48" s="27">
        <f>IF(D48&lt;=0,0,ROUND(MAX(0,D48-K48),2))</f>
        <v/>
      </c>
      <c r="M48" s="28">
        <f>IF(L48&lt;=0,0,IFERROR(MATCH(TRUE,INDEX(L48:L327&lt;=0,0),0),280))</f>
        <v/>
      </c>
    </row>
    <row r="49" ht="18" customHeight="1">
      <c r="A49" s="13" t="n">
        <v>47</v>
      </c>
      <c r="B49" s="14">
        <f>IF(C49&lt;=Parametry!$C$6,DATE(Parametry!$C$12+INT((Parametry!$C$13+47-2)/12),MOD(Parametry!$C$13+47-2,12)+1,Parametry!$C$11),"")</f>
        <v/>
      </c>
      <c r="C49" s="15" t="n">
        <v>47</v>
      </c>
      <c r="D49" s="16">
        <f>IF(C49&lt;=Parametry!$C$6,L48,0)</f>
        <v/>
      </c>
      <c r="E49" s="17">
        <f>IF(OR(D49&lt;=0,C49&gt;Parametry!$C$6),0,IF(C49&lt;=Parametry!$C$9+1,Parametry!$C$8,Parametry!$C$10))</f>
        <v/>
      </c>
      <c r="F49" s="16">
        <f>IF(D49&lt;=0,0,ROUND(D49*E49/12,2))</f>
        <v/>
      </c>
      <c r="G49" s="16">
        <f>IF(OR(D49&lt;=0,C49&gt;Parametry!$C$6),0,MIN(IF(C49&lt;=Parametry!$C$9+1,Parametry!$C$7,Parametry!$C$14),ROUND(D49+F49,2)))</f>
        <v/>
      </c>
      <c r="H49" s="18" t="n"/>
      <c r="I49" s="19">
        <f>IF(OR(L49&lt;=0,C49&gt;=Parametry!$C$6),0,INDEX(G:G,ROW()+1))</f>
        <v/>
      </c>
      <c r="J49" s="20">
        <f>IF(D49&lt;=0,0,MIN(G49+N(H49),ROUND(D49+F49,2)))</f>
        <v/>
      </c>
      <c r="K49" s="16">
        <f>IF(J49&lt;=0,0,ROUND(MAX(0,J49-F49),2))</f>
        <v/>
      </c>
      <c r="L49" s="20">
        <f>IF(D49&lt;=0,0,ROUND(MAX(0,D49-K49),2))</f>
        <v/>
      </c>
      <c r="M49" s="21">
        <f>IF(L49&lt;=0,0,IFERROR(MATCH(TRUE,INDEX(L49:L327&lt;=0,0),0),279))</f>
        <v/>
      </c>
    </row>
    <row r="50" ht="18" customHeight="1">
      <c r="A50" s="22" t="n">
        <v>48</v>
      </c>
      <c r="B50" s="23">
        <f>IF(C50&lt;=Parametry!$C$6,DATE(Parametry!$C$12+INT((Parametry!$C$13+48-2)/12),MOD(Parametry!$C$13+48-2,12)+1,Parametry!$C$11),"")</f>
        <v/>
      </c>
      <c r="C50" s="24" t="n">
        <v>48</v>
      </c>
      <c r="D50" s="25">
        <f>IF(C50&lt;=Parametry!$C$6,L49,0)</f>
        <v/>
      </c>
      <c r="E50" s="26">
        <f>IF(OR(D50&lt;=0,C50&gt;Parametry!$C$6),0,IF(C50&lt;=Parametry!$C$9+1,Parametry!$C$8,Parametry!$C$10))</f>
        <v/>
      </c>
      <c r="F50" s="25">
        <f>IF(D50&lt;=0,0,ROUND(D50*E50/12,2))</f>
        <v/>
      </c>
      <c r="G50" s="25">
        <f>IF(OR(D50&lt;=0,C50&gt;Parametry!$C$6),0,MIN(IF(C50&lt;=Parametry!$C$9+1,Parametry!$C$7,Parametry!$C$14),ROUND(D50+F50,2)))</f>
        <v/>
      </c>
      <c r="H50" s="18" t="n"/>
      <c r="I50" s="19">
        <f>IF(OR(L50&lt;=0,C50&gt;=Parametry!$C$6),0,INDEX(G:G,ROW()+1))</f>
        <v/>
      </c>
      <c r="J50" s="27">
        <f>IF(D50&lt;=0,0,MIN(G50+N(H50),ROUND(D50+F50,2)))</f>
        <v/>
      </c>
      <c r="K50" s="25">
        <f>IF(J50&lt;=0,0,ROUND(MAX(0,J50-F50),2))</f>
        <v/>
      </c>
      <c r="L50" s="27">
        <f>IF(D50&lt;=0,0,ROUND(MAX(0,D50-K50),2))</f>
        <v/>
      </c>
      <c r="M50" s="28">
        <f>IF(L50&lt;=0,0,IFERROR(MATCH(TRUE,INDEX(L50:L327&lt;=0,0),0),278))</f>
        <v/>
      </c>
    </row>
    <row r="51" ht="18" customHeight="1">
      <c r="A51" s="13" t="n">
        <v>49</v>
      </c>
      <c r="B51" s="14">
        <f>IF(C51&lt;=Parametry!$C$6,DATE(Parametry!$C$12+INT((Parametry!$C$13+49-2)/12),MOD(Parametry!$C$13+49-2,12)+1,Parametry!$C$11),"")</f>
        <v/>
      </c>
      <c r="C51" s="15" t="n">
        <v>49</v>
      </c>
      <c r="D51" s="16">
        <f>IF(C51&lt;=Parametry!$C$6,L50,0)</f>
        <v/>
      </c>
      <c r="E51" s="17">
        <f>IF(OR(D51&lt;=0,C51&gt;Parametry!$C$6),0,IF(C51&lt;=Parametry!$C$9+1,Parametry!$C$8,Parametry!$C$10))</f>
        <v/>
      </c>
      <c r="F51" s="16">
        <f>IF(D51&lt;=0,0,ROUND(D51*E51/12,2))</f>
        <v/>
      </c>
      <c r="G51" s="16">
        <f>IF(OR(D51&lt;=0,C51&gt;Parametry!$C$6),0,MIN(IF(C51&lt;=Parametry!$C$9+1,Parametry!$C$7,Parametry!$C$14),ROUND(D51+F51,2)))</f>
        <v/>
      </c>
      <c r="H51" s="18" t="n"/>
      <c r="I51" s="19">
        <f>IF(OR(L51&lt;=0,C51&gt;=Parametry!$C$6),0,INDEX(G:G,ROW()+1))</f>
        <v/>
      </c>
      <c r="J51" s="20">
        <f>IF(D51&lt;=0,0,MIN(G51+N(H51),ROUND(D51+F51,2)))</f>
        <v/>
      </c>
      <c r="K51" s="16">
        <f>IF(J51&lt;=0,0,ROUND(MAX(0,J51-F51),2))</f>
        <v/>
      </c>
      <c r="L51" s="20">
        <f>IF(D51&lt;=0,0,ROUND(MAX(0,D51-K51),2))</f>
        <v/>
      </c>
      <c r="M51" s="21">
        <f>IF(L51&lt;=0,0,IFERROR(MATCH(TRUE,INDEX(L51:L327&lt;=0,0),0),277))</f>
        <v/>
      </c>
    </row>
    <row r="52" ht="18" customHeight="1">
      <c r="A52" s="22" t="n">
        <v>50</v>
      </c>
      <c r="B52" s="23">
        <f>IF(C52&lt;=Parametry!$C$6,DATE(Parametry!$C$12+INT((Parametry!$C$13+50-2)/12),MOD(Parametry!$C$13+50-2,12)+1,Parametry!$C$11),"")</f>
        <v/>
      </c>
      <c r="C52" s="24" t="n">
        <v>50</v>
      </c>
      <c r="D52" s="25">
        <f>IF(C52&lt;=Parametry!$C$6,L51,0)</f>
        <v/>
      </c>
      <c r="E52" s="26">
        <f>IF(OR(D52&lt;=0,C52&gt;Parametry!$C$6),0,IF(C52&lt;=Parametry!$C$9+1,Parametry!$C$8,Parametry!$C$10))</f>
        <v/>
      </c>
      <c r="F52" s="25">
        <f>IF(D52&lt;=0,0,ROUND(D52*E52/12,2))</f>
        <v/>
      </c>
      <c r="G52" s="25">
        <f>IF(OR(D52&lt;=0,C52&gt;Parametry!$C$6),0,MIN(IF(C52&lt;=Parametry!$C$9+1,Parametry!$C$7,Parametry!$C$14),ROUND(D52+F52,2)))</f>
        <v/>
      </c>
      <c r="H52" s="18" t="n"/>
      <c r="I52" s="19">
        <f>IF(OR(L52&lt;=0,C52&gt;=Parametry!$C$6),0,INDEX(G:G,ROW()+1))</f>
        <v/>
      </c>
      <c r="J52" s="27">
        <f>IF(D52&lt;=0,0,MIN(G52+N(H52),ROUND(D52+F52,2)))</f>
        <v/>
      </c>
      <c r="K52" s="25">
        <f>IF(J52&lt;=0,0,ROUND(MAX(0,J52-F52),2))</f>
        <v/>
      </c>
      <c r="L52" s="27">
        <f>IF(D52&lt;=0,0,ROUND(MAX(0,D52-K52),2))</f>
        <v/>
      </c>
      <c r="M52" s="28">
        <f>IF(L52&lt;=0,0,IFERROR(MATCH(TRUE,INDEX(L52:L327&lt;=0,0),0),276))</f>
        <v/>
      </c>
    </row>
    <row r="53" ht="18" customHeight="1">
      <c r="A53" s="13" t="n">
        <v>51</v>
      </c>
      <c r="B53" s="14">
        <f>IF(C53&lt;=Parametry!$C$6,DATE(Parametry!$C$12+INT((Parametry!$C$13+51-2)/12),MOD(Parametry!$C$13+51-2,12)+1,Parametry!$C$11),"")</f>
        <v/>
      </c>
      <c r="C53" s="15" t="n">
        <v>51</v>
      </c>
      <c r="D53" s="16">
        <f>IF(C53&lt;=Parametry!$C$6,L52,0)</f>
        <v/>
      </c>
      <c r="E53" s="17">
        <f>IF(OR(D53&lt;=0,C53&gt;Parametry!$C$6),0,IF(C53&lt;=Parametry!$C$9+1,Parametry!$C$8,Parametry!$C$10))</f>
        <v/>
      </c>
      <c r="F53" s="16">
        <f>IF(D53&lt;=0,0,ROUND(D53*E53/12,2))</f>
        <v/>
      </c>
      <c r="G53" s="16">
        <f>IF(OR(D53&lt;=0,C53&gt;Parametry!$C$6),0,MIN(IF(C53&lt;=Parametry!$C$9+1,Parametry!$C$7,Parametry!$C$14),ROUND(D53+F53,2)))</f>
        <v/>
      </c>
      <c r="H53" s="18" t="n"/>
      <c r="I53" s="19">
        <f>IF(OR(L53&lt;=0,C53&gt;=Parametry!$C$6),0,INDEX(G:G,ROW()+1))</f>
        <v/>
      </c>
      <c r="J53" s="20">
        <f>IF(D53&lt;=0,0,MIN(G53+N(H53),ROUND(D53+F53,2)))</f>
        <v/>
      </c>
      <c r="K53" s="16">
        <f>IF(J53&lt;=0,0,ROUND(MAX(0,J53-F53),2))</f>
        <v/>
      </c>
      <c r="L53" s="20">
        <f>IF(D53&lt;=0,0,ROUND(MAX(0,D53-K53),2))</f>
        <v/>
      </c>
      <c r="M53" s="21">
        <f>IF(L53&lt;=0,0,IFERROR(MATCH(TRUE,INDEX(L53:L327&lt;=0,0),0),275))</f>
        <v/>
      </c>
    </row>
    <row r="54" ht="18" customHeight="1">
      <c r="A54" s="22" t="n">
        <v>52</v>
      </c>
      <c r="B54" s="23">
        <f>IF(C54&lt;=Parametry!$C$6,DATE(Parametry!$C$12+INT((Parametry!$C$13+52-2)/12),MOD(Parametry!$C$13+52-2,12)+1,Parametry!$C$11),"")</f>
        <v/>
      </c>
      <c r="C54" s="24" t="n">
        <v>52</v>
      </c>
      <c r="D54" s="25">
        <f>IF(C54&lt;=Parametry!$C$6,L53,0)</f>
        <v/>
      </c>
      <c r="E54" s="26">
        <f>IF(OR(D54&lt;=0,C54&gt;Parametry!$C$6),0,IF(C54&lt;=Parametry!$C$9+1,Parametry!$C$8,Parametry!$C$10))</f>
        <v/>
      </c>
      <c r="F54" s="25">
        <f>IF(D54&lt;=0,0,ROUND(D54*E54/12,2))</f>
        <v/>
      </c>
      <c r="G54" s="25">
        <f>IF(OR(D54&lt;=0,C54&gt;Parametry!$C$6),0,MIN(IF(C54&lt;=Parametry!$C$9+1,Parametry!$C$7,Parametry!$C$14),ROUND(D54+F54,2)))</f>
        <v/>
      </c>
      <c r="H54" s="18" t="n"/>
      <c r="I54" s="19">
        <f>IF(OR(L54&lt;=0,C54&gt;=Parametry!$C$6),0,INDEX(G:G,ROW()+1))</f>
        <v/>
      </c>
      <c r="J54" s="27">
        <f>IF(D54&lt;=0,0,MIN(G54+N(H54),ROUND(D54+F54,2)))</f>
        <v/>
      </c>
      <c r="K54" s="25">
        <f>IF(J54&lt;=0,0,ROUND(MAX(0,J54-F54),2))</f>
        <v/>
      </c>
      <c r="L54" s="27">
        <f>IF(D54&lt;=0,0,ROUND(MAX(0,D54-K54),2))</f>
        <v/>
      </c>
      <c r="M54" s="28">
        <f>IF(L54&lt;=0,0,IFERROR(MATCH(TRUE,INDEX(L54:L327&lt;=0,0),0),274))</f>
        <v/>
      </c>
    </row>
    <row r="55" ht="18" customHeight="1">
      <c r="A55" s="13" t="n">
        <v>53</v>
      </c>
      <c r="B55" s="14">
        <f>IF(C55&lt;=Parametry!$C$6,DATE(Parametry!$C$12+INT((Parametry!$C$13+53-2)/12),MOD(Parametry!$C$13+53-2,12)+1,Parametry!$C$11),"")</f>
        <v/>
      </c>
      <c r="C55" s="15" t="n">
        <v>53</v>
      </c>
      <c r="D55" s="16">
        <f>IF(C55&lt;=Parametry!$C$6,L54,0)</f>
        <v/>
      </c>
      <c r="E55" s="17">
        <f>IF(OR(D55&lt;=0,C55&gt;Parametry!$C$6),0,IF(C55&lt;=Parametry!$C$9+1,Parametry!$C$8,Parametry!$C$10))</f>
        <v/>
      </c>
      <c r="F55" s="16">
        <f>IF(D55&lt;=0,0,ROUND(D55*E55/12,2))</f>
        <v/>
      </c>
      <c r="G55" s="16">
        <f>IF(OR(D55&lt;=0,C55&gt;Parametry!$C$6),0,MIN(IF(C55&lt;=Parametry!$C$9+1,Parametry!$C$7,Parametry!$C$14),ROUND(D55+F55,2)))</f>
        <v/>
      </c>
      <c r="H55" s="18" t="n"/>
      <c r="I55" s="19">
        <f>IF(OR(L55&lt;=0,C55&gt;=Parametry!$C$6),0,INDEX(G:G,ROW()+1))</f>
        <v/>
      </c>
      <c r="J55" s="20">
        <f>IF(D55&lt;=0,0,MIN(G55+N(H55),ROUND(D55+F55,2)))</f>
        <v/>
      </c>
      <c r="K55" s="16">
        <f>IF(J55&lt;=0,0,ROUND(MAX(0,J55-F55),2))</f>
        <v/>
      </c>
      <c r="L55" s="20">
        <f>IF(D55&lt;=0,0,ROUND(MAX(0,D55-K55),2))</f>
        <v/>
      </c>
      <c r="M55" s="21">
        <f>IF(L55&lt;=0,0,IFERROR(MATCH(TRUE,INDEX(L55:L327&lt;=0,0),0),273))</f>
        <v/>
      </c>
    </row>
    <row r="56" ht="18" customHeight="1">
      <c r="A56" s="22" t="n">
        <v>54</v>
      </c>
      <c r="B56" s="23">
        <f>IF(C56&lt;=Parametry!$C$6,DATE(Parametry!$C$12+INT((Parametry!$C$13+54-2)/12),MOD(Parametry!$C$13+54-2,12)+1,Parametry!$C$11),"")</f>
        <v/>
      </c>
      <c r="C56" s="24" t="n">
        <v>54</v>
      </c>
      <c r="D56" s="25">
        <f>IF(C56&lt;=Parametry!$C$6,L55,0)</f>
        <v/>
      </c>
      <c r="E56" s="26">
        <f>IF(OR(D56&lt;=0,C56&gt;Parametry!$C$6),0,IF(C56&lt;=Parametry!$C$9+1,Parametry!$C$8,Parametry!$C$10))</f>
        <v/>
      </c>
      <c r="F56" s="25">
        <f>IF(D56&lt;=0,0,ROUND(D56*E56/12,2))</f>
        <v/>
      </c>
      <c r="G56" s="25">
        <f>IF(OR(D56&lt;=0,C56&gt;Parametry!$C$6),0,MIN(IF(C56&lt;=Parametry!$C$9+1,Parametry!$C$7,Parametry!$C$14),ROUND(D56+F56,2)))</f>
        <v/>
      </c>
      <c r="H56" s="18" t="n"/>
      <c r="I56" s="19">
        <f>IF(OR(L56&lt;=0,C56&gt;=Parametry!$C$6),0,INDEX(G:G,ROW()+1))</f>
        <v/>
      </c>
      <c r="J56" s="27">
        <f>IF(D56&lt;=0,0,MIN(G56+N(H56),ROUND(D56+F56,2)))</f>
        <v/>
      </c>
      <c r="K56" s="25">
        <f>IF(J56&lt;=0,0,ROUND(MAX(0,J56-F56),2))</f>
        <v/>
      </c>
      <c r="L56" s="27">
        <f>IF(D56&lt;=0,0,ROUND(MAX(0,D56-K56),2))</f>
        <v/>
      </c>
      <c r="M56" s="28">
        <f>IF(L56&lt;=0,0,IFERROR(MATCH(TRUE,INDEX(L56:L327&lt;=0,0),0),272))</f>
        <v/>
      </c>
    </row>
    <row r="57" ht="18" customHeight="1">
      <c r="A57" s="13" t="n">
        <v>55</v>
      </c>
      <c r="B57" s="14">
        <f>IF(C57&lt;=Parametry!$C$6,DATE(Parametry!$C$12+INT((Parametry!$C$13+55-2)/12),MOD(Parametry!$C$13+55-2,12)+1,Parametry!$C$11),"")</f>
        <v/>
      </c>
      <c r="C57" s="15" t="n">
        <v>55</v>
      </c>
      <c r="D57" s="16">
        <f>IF(C57&lt;=Parametry!$C$6,L56,0)</f>
        <v/>
      </c>
      <c r="E57" s="17">
        <f>IF(OR(D57&lt;=0,C57&gt;Parametry!$C$6),0,IF(C57&lt;=Parametry!$C$9+1,Parametry!$C$8,Parametry!$C$10))</f>
        <v/>
      </c>
      <c r="F57" s="16">
        <f>IF(D57&lt;=0,0,ROUND(D57*E57/12,2))</f>
        <v/>
      </c>
      <c r="G57" s="16">
        <f>IF(OR(D57&lt;=0,C57&gt;Parametry!$C$6),0,MIN(IF(C57&lt;=Parametry!$C$9+1,Parametry!$C$7,Parametry!$C$14),ROUND(D57+F57,2)))</f>
        <v/>
      </c>
      <c r="H57" s="18" t="n"/>
      <c r="I57" s="19">
        <f>IF(OR(L57&lt;=0,C57&gt;=Parametry!$C$6),0,INDEX(G:G,ROW()+1))</f>
        <v/>
      </c>
      <c r="J57" s="20">
        <f>IF(D57&lt;=0,0,MIN(G57+N(H57),ROUND(D57+F57,2)))</f>
        <v/>
      </c>
      <c r="K57" s="16">
        <f>IF(J57&lt;=0,0,ROUND(MAX(0,J57-F57),2))</f>
        <v/>
      </c>
      <c r="L57" s="20">
        <f>IF(D57&lt;=0,0,ROUND(MAX(0,D57-K57),2))</f>
        <v/>
      </c>
      <c r="M57" s="21">
        <f>IF(L57&lt;=0,0,IFERROR(MATCH(TRUE,INDEX(L57:L327&lt;=0,0),0),271))</f>
        <v/>
      </c>
    </row>
    <row r="58" ht="18" customHeight="1">
      <c r="A58" s="22" t="n">
        <v>56</v>
      </c>
      <c r="B58" s="23">
        <f>IF(C58&lt;=Parametry!$C$6,DATE(Parametry!$C$12+INT((Parametry!$C$13+56-2)/12),MOD(Parametry!$C$13+56-2,12)+1,Parametry!$C$11),"")</f>
        <v/>
      </c>
      <c r="C58" s="24" t="n">
        <v>56</v>
      </c>
      <c r="D58" s="25">
        <f>IF(C58&lt;=Parametry!$C$6,L57,0)</f>
        <v/>
      </c>
      <c r="E58" s="26">
        <f>IF(OR(D58&lt;=0,C58&gt;Parametry!$C$6),0,IF(C58&lt;=Parametry!$C$9+1,Parametry!$C$8,Parametry!$C$10))</f>
        <v/>
      </c>
      <c r="F58" s="25">
        <f>IF(D58&lt;=0,0,ROUND(D58*E58/12,2))</f>
        <v/>
      </c>
      <c r="G58" s="25">
        <f>IF(OR(D58&lt;=0,C58&gt;Parametry!$C$6),0,MIN(IF(C58&lt;=Parametry!$C$9+1,Parametry!$C$7,Parametry!$C$14),ROUND(D58+F58,2)))</f>
        <v/>
      </c>
      <c r="H58" s="18" t="n"/>
      <c r="I58" s="19">
        <f>IF(OR(L58&lt;=0,C58&gt;=Parametry!$C$6),0,INDEX(G:G,ROW()+1))</f>
        <v/>
      </c>
      <c r="J58" s="27">
        <f>IF(D58&lt;=0,0,MIN(G58+N(H58),ROUND(D58+F58,2)))</f>
        <v/>
      </c>
      <c r="K58" s="25">
        <f>IF(J58&lt;=0,0,ROUND(MAX(0,J58-F58),2))</f>
        <v/>
      </c>
      <c r="L58" s="27">
        <f>IF(D58&lt;=0,0,ROUND(MAX(0,D58-K58),2))</f>
        <v/>
      </c>
      <c r="M58" s="28">
        <f>IF(L58&lt;=0,0,IFERROR(MATCH(TRUE,INDEX(L58:L327&lt;=0,0),0),270))</f>
        <v/>
      </c>
    </row>
    <row r="59" ht="18" customHeight="1">
      <c r="A59" s="13" t="n">
        <v>57</v>
      </c>
      <c r="B59" s="14">
        <f>IF(C59&lt;=Parametry!$C$6,DATE(Parametry!$C$12+INT((Parametry!$C$13+57-2)/12),MOD(Parametry!$C$13+57-2,12)+1,Parametry!$C$11),"")</f>
        <v/>
      </c>
      <c r="C59" s="15" t="n">
        <v>57</v>
      </c>
      <c r="D59" s="16">
        <f>IF(C59&lt;=Parametry!$C$6,L58,0)</f>
        <v/>
      </c>
      <c r="E59" s="17">
        <f>IF(OR(D59&lt;=0,C59&gt;Parametry!$C$6),0,IF(C59&lt;=Parametry!$C$9+1,Parametry!$C$8,Parametry!$C$10))</f>
        <v/>
      </c>
      <c r="F59" s="16">
        <f>IF(D59&lt;=0,0,ROUND(D59*E59/12,2))</f>
        <v/>
      </c>
      <c r="G59" s="16">
        <f>IF(OR(D59&lt;=0,C59&gt;Parametry!$C$6),0,MIN(IF(C59&lt;=Parametry!$C$9+1,Parametry!$C$7,Parametry!$C$14),ROUND(D59+F59,2)))</f>
        <v/>
      </c>
      <c r="H59" s="18" t="n"/>
      <c r="I59" s="19">
        <f>IF(OR(L59&lt;=0,C59&gt;=Parametry!$C$6),0,INDEX(G:G,ROW()+1))</f>
        <v/>
      </c>
      <c r="J59" s="20">
        <f>IF(D59&lt;=0,0,MIN(G59+N(H59),ROUND(D59+F59,2)))</f>
        <v/>
      </c>
      <c r="K59" s="16">
        <f>IF(J59&lt;=0,0,ROUND(MAX(0,J59-F59),2))</f>
        <v/>
      </c>
      <c r="L59" s="20">
        <f>IF(D59&lt;=0,0,ROUND(MAX(0,D59-K59),2))</f>
        <v/>
      </c>
      <c r="M59" s="21">
        <f>IF(L59&lt;=0,0,IFERROR(MATCH(TRUE,INDEX(L59:L327&lt;=0,0),0),269))</f>
        <v/>
      </c>
    </row>
    <row r="60" ht="18" customHeight="1">
      <c r="A60" s="22" t="n">
        <v>58</v>
      </c>
      <c r="B60" s="23">
        <f>IF(C60&lt;=Parametry!$C$6,DATE(Parametry!$C$12+INT((Parametry!$C$13+58-2)/12),MOD(Parametry!$C$13+58-2,12)+1,Parametry!$C$11),"")</f>
        <v/>
      </c>
      <c r="C60" s="24" t="n">
        <v>58</v>
      </c>
      <c r="D60" s="25">
        <f>IF(C60&lt;=Parametry!$C$6,L59,0)</f>
        <v/>
      </c>
      <c r="E60" s="26">
        <f>IF(OR(D60&lt;=0,C60&gt;Parametry!$C$6),0,IF(C60&lt;=Parametry!$C$9+1,Parametry!$C$8,Parametry!$C$10))</f>
        <v/>
      </c>
      <c r="F60" s="25">
        <f>IF(D60&lt;=0,0,ROUND(D60*E60/12,2))</f>
        <v/>
      </c>
      <c r="G60" s="25">
        <f>IF(OR(D60&lt;=0,C60&gt;Parametry!$C$6),0,MIN(IF(C60&lt;=Parametry!$C$9+1,Parametry!$C$7,Parametry!$C$14),ROUND(D60+F60,2)))</f>
        <v/>
      </c>
      <c r="H60" s="18" t="n"/>
      <c r="I60" s="19">
        <f>IF(OR(L60&lt;=0,C60&gt;=Parametry!$C$6),0,INDEX(G:G,ROW()+1))</f>
        <v/>
      </c>
      <c r="J60" s="27">
        <f>IF(D60&lt;=0,0,MIN(G60+N(H60),ROUND(D60+F60,2)))</f>
        <v/>
      </c>
      <c r="K60" s="25">
        <f>IF(J60&lt;=0,0,ROUND(MAX(0,J60-F60),2))</f>
        <v/>
      </c>
      <c r="L60" s="27">
        <f>IF(D60&lt;=0,0,ROUND(MAX(0,D60-K60),2))</f>
        <v/>
      </c>
      <c r="M60" s="28">
        <f>IF(L60&lt;=0,0,IFERROR(MATCH(TRUE,INDEX(L60:L327&lt;=0,0),0),268))</f>
        <v/>
      </c>
    </row>
    <row r="61" ht="18" customHeight="1">
      <c r="A61" s="13" t="n">
        <v>59</v>
      </c>
      <c r="B61" s="14">
        <f>IF(C61&lt;=Parametry!$C$6,DATE(Parametry!$C$12+INT((Parametry!$C$13+59-2)/12),MOD(Parametry!$C$13+59-2,12)+1,Parametry!$C$11),"")</f>
        <v/>
      </c>
      <c r="C61" s="15" t="n">
        <v>59</v>
      </c>
      <c r="D61" s="16">
        <f>IF(C61&lt;=Parametry!$C$6,L60,0)</f>
        <v/>
      </c>
      <c r="E61" s="17">
        <f>IF(OR(D61&lt;=0,C61&gt;Parametry!$C$6),0,IF(C61&lt;=Parametry!$C$9+1,Parametry!$C$8,Parametry!$C$10))</f>
        <v/>
      </c>
      <c r="F61" s="16">
        <f>IF(D61&lt;=0,0,ROUND(D61*E61/12,2))</f>
        <v/>
      </c>
      <c r="G61" s="16">
        <f>IF(OR(D61&lt;=0,C61&gt;Parametry!$C$6),0,MIN(IF(C61&lt;=Parametry!$C$9+1,Parametry!$C$7,Parametry!$C$14),ROUND(D61+F61,2)))</f>
        <v/>
      </c>
      <c r="H61" s="18" t="n"/>
      <c r="I61" s="19">
        <f>IF(OR(L61&lt;=0,C61&gt;=Parametry!$C$6),0,INDEX(G:G,ROW()+1))</f>
        <v/>
      </c>
      <c r="J61" s="20">
        <f>IF(D61&lt;=0,0,MIN(G61+N(H61),ROUND(D61+F61,2)))</f>
        <v/>
      </c>
      <c r="K61" s="16">
        <f>IF(J61&lt;=0,0,ROUND(MAX(0,J61-F61),2))</f>
        <v/>
      </c>
      <c r="L61" s="20">
        <f>IF(D61&lt;=0,0,ROUND(MAX(0,D61-K61),2))</f>
        <v/>
      </c>
      <c r="M61" s="21">
        <f>IF(L61&lt;=0,0,IFERROR(MATCH(TRUE,INDEX(L61:L327&lt;=0,0),0),267))</f>
        <v/>
      </c>
    </row>
    <row r="62" ht="18" customHeight="1">
      <c r="A62" s="22" t="n">
        <v>60</v>
      </c>
      <c r="B62" s="23">
        <f>IF(C62&lt;=Parametry!$C$6,DATE(Parametry!$C$12+INT((Parametry!$C$13+60-2)/12),MOD(Parametry!$C$13+60-2,12)+1,Parametry!$C$11),"")</f>
        <v/>
      </c>
      <c r="C62" s="24" t="n">
        <v>60</v>
      </c>
      <c r="D62" s="25">
        <f>IF(C62&lt;=Parametry!$C$6,L61,0)</f>
        <v/>
      </c>
      <c r="E62" s="26">
        <f>IF(OR(D62&lt;=0,C62&gt;Parametry!$C$6),0,IF(C62&lt;=Parametry!$C$9+1,Parametry!$C$8,Parametry!$C$10))</f>
        <v/>
      </c>
      <c r="F62" s="25">
        <f>IF(D62&lt;=0,0,ROUND(D62*E62/12,2))</f>
        <v/>
      </c>
      <c r="G62" s="25">
        <f>IF(OR(D62&lt;=0,C62&gt;Parametry!$C$6),0,MIN(IF(C62&lt;=Parametry!$C$9+1,Parametry!$C$7,Parametry!$C$14),ROUND(D62+F62,2)))</f>
        <v/>
      </c>
      <c r="H62" s="18" t="n"/>
      <c r="I62" s="19">
        <f>IF(OR(L62&lt;=0,C62&gt;=Parametry!$C$6),0,INDEX(G:G,ROW()+1))</f>
        <v/>
      </c>
      <c r="J62" s="27">
        <f>IF(D62&lt;=0,0,MIN(G62+N(H62),ROUND(D62+F62,2)))</f>
        <v/>
      </c>
      <c r="K62" s="25">
        <f>IF(J62&lt;=0,0,ROUND(MAX(0,J62-F62),2))</f>
        <v/>
      </c>
      <c r="L62" s="27">
        <f>IF(D62&lt;=0,0,ROUND(MAX(0,D62-K62),2))</f>
        <v/>
      </c>
      <c r="M62" s="28">
        <f>IF(L62&lt;=0,0,IFERROR(MATCH(TRUE,INDEX(L62:L327&lt;=0,0),0),266))</f>
        <v/>
      </c>
    </row>
    <row r="63" ht="18" customHeight="1">
      <c r="A63" s="13" t="n">
        <v>61</v>
      </c>
      <c r="B63" s="14">
        <f>IF(C63&lt;=Parametry!$C$6,DATE(Parametry!$C$12+INT((Parametry!$C$13+61-2)/12),MOD(Parametry!$C$13+61-2,12)+1,Parametry!$C$11),"")</f>
        <v/>
      </c>
      <c r="C63" s="15" t="n">
        <v>61</v>
      </c>
      <c r="D63" s="16">
        <f>IF(C63&lt;=Parametry!$C$6,L62,0)</f>
        <v/>
      </c>
      <c r="E63" s="17">
        <f>IF(OR(D63&lt;=0,C63&gt;Parametry!$C$6),0,IF(C63&lt;=Parametry!$C$9+1,Parametry!$C$8,Parametry!$C$10))</f>
        <v/>
      </c>
      <c r="F63" s="16">
        <f>IF(D63&lt;=0,0,ROUND(D63*E63/12,2))</f>
        <v/>
      </c>
      <c r="G63" s="16">
        <f>IF(OR(D63&lt;=0,C63&gt;Parametry!$C$6),0,MIN(IF(C63&lt;=Parametry!$C$9+1,Parametry!$C$7,Parametry!$C$14),ROUND(D63+F63,2)))</f>
        <v/>
      </c>
      <c r="H63" s="18" t="n"/>
      <c r="I63" s="19">
        <f>IF(OR(L63&lt;=0,C63&gt;=Parametry!$C$6),0,INDEX(G:G,ROW()+1))</f>
        <v/>
      </c>
      <c r="J63" s="20">
        <f>IF(D63&lt;=0,0,MIN(G63+N(H63),ROUND(D63+F63,2)))</f>
        <v/>
      </c>
      <c r="K63" s="16">
        <f>IF(J63&lt;=0,0,ROUND(MAX(0,J63-F63),2))</f>
        <v/>
      </c>
      <c r="L63" s="20">
        <f>IF(D63&lt;=0,0,ROUND(MAX(0,D63-K63),2))</f>
        <v/>
      </c>
      <c r="M63" s="21">
        <f>IF(L63&lt;=0,0,IFERROR(MATCH(TRUE,INDEX(L63:L327&lt;=0,0),0),265))</f>
        <v/>
      </c>
    </row>
    <row r="64" ht="18" customHeight="1">
      <c r="A64" s="22" t="n">
        <v>62</v>
      </c>
      <c r="B64" s="23">
        <f>IF(C64&lt;=Parametry!$C$6,DATE(Parametry!$C$12+INT((Parametry!$C$13+62-2)/12),MOD(Parametry!$C$13+62-2,12)+1,Parametry!$C$11),"")</f>
        <v/>
      </c>
      <c r="C64" s="24" t="n">
        <v>62</v>
      </c>
      <c r="D64" s="25">
        <f>IF(C64&lt;=Parametry!$C$6,L63,0)</f>
        <v/>
      </c>
      <c r="E64" s="26">
        <f>IF(OR(D64&lt;=0,C64&gt;Parametry!$C$6),0,IF(C64&lt;=Parametry!$C$9+1,Parametry!$C$8,Parametry!$C$10))</f>
        <v/>
      </c>
      <c r="F64" s="25">
        <f>IF(D64&lt;=0,0,ROUND(D64*E64/12,2))</f>
        <v/>
      </c>
      <c r="G64" s="25">
        <f>IF(OR(D64&lt;=0,C64&gt;Parametry!$C$6),0,MIN(IF(C64&lt;=Parametry!$C$9+1,Parametry!$C$7,Parametry!$C$14),ROUND(D64+F64,2)))</f>
        <v/>
      </c>
      <c r="H64" s="18" t="n"/>
      <c r="I64" s="19">
        <f>IF(OR(L64&lt;=0,C64&gt;=Parametry!$C$6),0,INDEX(G:G,ROW()+1))</f>
        <v/>
      </c>
      <c r="J64" s="27">
        <f>IF(D64&lt;=0,0,MIN(G64+N(H64),ROUND(D64+F64,2)))</f>
        <v/>
      </c>
      <c r="K64" s="25">
        <f>IF(J64&lt;=0,0,ROUND(MAX(0,J64-F64),2))</f>
        <v/>
      </c>
      <c r="L64" s="27">
        <f>IF(D64&lt;=0,0,ROUND(MAX(0,D64-K64),2))</f>
        <v/>
      </c>
      <c r="M64" s="28">
        <f>IF(L64&lt;=0,0,IFERROR(MATCH(TRUE,INDEX(L64:L327&lt;=0,0),0),264))</f>
        <v/>
      </c>
    </row>
    <row r="65" ht="18" customHeight="1">
      <c r="A65" s="13" t="n">
        <v>63</v>
      </c>
      <c r="B65" s="14">
        <f>IF(C65&lt;=Parametry!$C$6,DATE(Parametry!$C$12+INT((Parametry!$C$13+63-2)/12),MOD(Parametry!$C$13+63-2,12)+1,Parametry!$C$11),"")</f>
        <v/>
      </c>
      <c r="C65" s="15" t="n">
        <v>63</v>
      </c>
      <c r="D65" s="16">
        <f>IF(C65&lt;=Parametry!$C$6,L64,0)</f>
        <v/>
      </c>
      <c r="E65" s="17">
        <f>IF(OR(D65&lt;=0,C65&gt;Parametry!$C$6),0,IF(C65&lt;=Parametry!$C$9+1,Parametry!$C$8,Parametry!$C$10))</f>
        <v/>
      </c>
      <c r="F65" s="16">
        <f>IF(D65&lt;=0,0,ROUND(D65*E65/12,2))</f>
        <v/>
      </c>
      <c r="G65" s="16">
        <f>IF(OR(D65&lt;=0,C65&gt;Parametry!$C$6),0,MIN(IF(C65&lt;=Parametry!$C$9+1,Parametry!$C$7,Parametry!$C$14),ROUND(D65+F65,2)))</f>
        <v/>
      </c>
      <c r="H65" s="18" t="n"/>
      <c r="I65" s="19">
        <f>IF(OR(L65&lt;=0,C65&gt;=Parametry!$C$6),0,INDEX(G:G,ROW()+1))</f>
        <v/>
      </c>
      <c r="J65" s="20">
        <f>IF(D65&lt;=0,0,MIN(G65+N(H65),ROUND(D65+F65,2)))</f>
        <v/>
      </c>
      <c r="K65" s="16">
        <f>IF(J65&lt;=0,0,ROUND(MAX(0,J65-F65),2))</f>
        <v/>
      </c>
      <c r="L65" s="20">
        <f>IF(D65&lt;=0,0,ROUND(MAX(0,D65-K65),2))</f>
        <v/>
      </c>
      <c r="M65" s="21">
        <f>IF(L65&lt;=0,0,IFERROR(MATCH(TRUE,INDEX(L65:L327&lt;=0,0),0),263))</f>
        <v/>
      </c>
    </row>
    <row r="66" ht="18" customHeight="1">
      <c r="A66" s="22" t="n">
        <v>64</v>
      </c>
      <c r="B66" s="23">
        <f>IF(C66&lt;=Parametry!$C$6,DATE(Parametry!$C$12+INT((Parametry!$C$13+64-2)/12),MOD(Parametry!$C$13+64-2,12)+1,Parametry!$C$11),"")</f>
        <v/>
      </c>
      <c r="C66" s="24" t="n">
        <v>64</v>
      </c>
      <c r="D66" s="25">
        <f>IF(C66&lt;=Parametry!$C$6,L65,0)</f>
        <v/>
      </c>
      <c r="E66" s="26">
        <f>IF(OR(D66&lt;=0,C66&gt;Parametry!$C$6),0,IF(C66&lt;=Parametry!$C$9+1,Parametry!$C$8,Parametry!$C$10))</f>
        <v/>
      </c>
      <c r="F66" s="25">
        <f>IF(D66&lt;=0,0,ROUND(D66*E66/12,2))</f>
        <v/>
      </c>
      <c r="G66" s="25">
        <f>IF(OR(D66&lt;=0,C66&gt;Parametry!$C$6),0,MIN(IF(C66&lt;=Parametry!$C$9+1,Parametry!$C$7,Parametry!$C$14),ROUND(D66+F66,2)))</f>
        <v/>
      </c>
      <c r="H66" s="18" t="n"/>
      <c r="I66" s="19">
        <f>IF(OR(L66&lt;=0,C66&gt;=Parametry!$C$6),0,INDEX(G:G,ROW()+1))</f>
        <v/>
      </c>
      <c r="J66" s="27">
        <f>IF(D66&lt;=0,0,MIN(G66+N(H66),ROUND(D66+F66,2)))</f>
        <v/>
      </c>
      <c r="K66" s="25">
        <f>IF(J66&lt;=0,0,ROUND(MAX(0,J66-F66),2))</f>
        <v/>
      </c>
      <c r="L66" s="27">
        <f>IF(D66&lt;=0,0,ROUND(MAX(0,D66-K66),2))</f>
        <v/>
      </c>
      <c r="M66" s="28">
        <f>IF(L66&lt;=0,0,IFERROR(MATCH(TRUE,INDEX(L66:L327&lt;=0,0),0),262))</f>
        <v/>
      </c>
    </row>
    <row r="67" ht="18" customHeight="1">
      <c r="A67" s="13" t="n">
        <v>65</v>
      </c>
      <c r="B67" s="14">
        <f>IF(C67&lt;=Parametry!$C$6,DATE(Parametry!$C$12+INT((Parametry!$C$13+65-2)/12),MOD(Parametry!$C$13+65-2,12)+1,Parametry!$C$11),"")</f>
        <v/>
      </c>
      <c r="C67" s="15" t="n">
        <v>65</v>
      </c>
      <c r="D67" s="16">
        <f>IF(C67&lt;=Parametry!$C$6,L66,0)</f>
        <v/>
      </c>
      <c r="E67" s="17">
        <f>IF(OR(D67&lt;=0,C67&gt;Parametry!$C$6),0,IF(C67&lt;=Parametry!$C$9+1,Parametry!$C$8,Parametry!$C$10))</f>
        <v/>
      </c>
      <c r="F67" s="16">
        <f>IF(D67&lt;=0,0,ROUND(D67*E67/12,2))</f>
        <v/>
      </c>
      <c r="G67" s="16">
        <f>IF(OR(D67&lt;=0,C67&gt;Parametry!$C$6),0,MIN(IF(C67&lt;=Parametry!$C$9+1,Parametry!$C$7,Parametry!$C$14),ROUND(D67+F67,2)))</f>
        <v/>
      </c>
      <c r="H67" s="18" t="n"/>
      <c r="I67" s="19">
        <f>IF(OR(L67&lt;=0,C67&gt;=Parametry!$C$6),0,INDEX(G:G,ROW()+1))</f>
        <v/>
      </c>
      <c r="J67" s="20">
        <f>IF(D67&lt;=0,0,MIN(G67+N(H67),ROUND(D67+F67,2)))</f>
        <v/>
      </c>
      <c r="K67" s="16">
        <f>IF(J67&lt;=0,0,ROUND(MAX(0,J67-F67),2))</f>
        <v/>
      </c>
      <c r="L67" s="20">
        <f>IF(D67&lt;=0,0,ROUND(MAX(0,D67-K67),2))</f>
        <v/>
      </c>
      <c r="M67" s="21">
        <f>IF(L67&lt;=0,0,IFERROR(MATCH(TRUE,INDEX(L67:L327&lt;=0,0),0),261))</f>
        <v/>
      </c>
    </row>
    <row r="68" ht="18" customHeight="1">
      <c r="A68" s="22" t="n">
        <v>66</v>
      </c>
      <c r="B68" s="23">
        <f>IF(C68&lt;=Parametry!$C$6,DATE(Parametry!$C$12+INT((Parametry!$C$13+66-2)/12),MOD(Parametry!$C$13+66-2,12)+1,Parametry!$C$11),"")</f>
        <v/>
      </c>
      <c r="C68" s="24" t="n">
        <v>66</v>
      </c>
      <c r="D68" s="25">
        <f>IF(C68&lt;=Parametry!$C$6,L67,0)</f>
        <v/>
      </c>
      <c r="E68" s="26">
        <f>IF(OR(D68&lt;=0,C68&gt;Parametry!$C$6),0,IF(C68&lt;=Parametry!$C$9+1,Parametry!$C$8,Parametry!$C$10))</f>
        <v/>
      </c>
      <c r="F68" s="25">
        <f>IF(D68&lt;=0,0,ROUND(D68*E68/12,2))</f>
        <v/>
      </c>
      <c r="G68" s="25">
        <f>IF(OR(D68&lt;=0,C68&gt;Parametry!$C$6),0,MIN(IF(C68&lt;=Parametry!$C$9+1,Parametry!$C$7,Parametry!$C$14),ROUND(D68+F68,2)))</f>
        <v/>
      </c>
      <c r="H68" s="18" t="n"/>
      <c r="I68" s="19">
        <f>IF(OR(L68&lt;=0,C68&gt;=Parametry!$C$6),0,INDEX(G:G,ROW()+1))</f>
        <v/>
      </c>
      <c r="J68" s="27">
        <f>IF(D68&lt;=0,0,MIN(G68+N(H68),ROUND(D68+F68,2)))</f>
        <v/>
      </c>
      <c r="K68" s="25">
        <f>IF(J68&lt;=0,0,ROUND(MAX(0,J68-F68),2))</f>
        <v/>
      </c>
      <c r="L68" s="27">
        <f>IF(D68&lt;=0,0,ROUND(MAX(0,D68-K68),2))</f>
        <v/>
      </c>
      <c r="M68" s="28">
        <f>IF(L68&lt;=0,0,IFERROR(MATCH(TRUE,INDEX(L68:L327&lt;=0,0),0),260))</f>
        <v/>
      </c>
    </row>
    <row r="69" ht="18" customHeight="1">
      <c r="A69" s="13" t="n">
        <v>67</v>
      </c>
      <c r="B69" s="14">
        <f>IF(C69&lt;=Parametry!$C$6,DATE(Parametry!$C$12+INT((Parametry!$C$13+67-2)/12),MOD(Parametry!$C$13+67-2,12)+1,Parametry!$C$11),"")</f>
        <v/>
      </c>
      <c r="C69" s="15" t="n">
        <v>67</v>
      </c>
      <c r="D69" s="16">
        <f>IF(C69&lt;=Parametry!$C$6,L68,0)</f>
        <v/>
      </c>
      <c r="E69" s="17">
        <f>IF(OR(D69&lt;=0,C69&gt;Parametry!$C$6),0,IF(C69&lt;=Parametry!$C$9+1,Parametry!$C$8,Parametry!$C$10))</f>
        <v/>
      </c>
      <c r="F69" s="16">
        <f>IF(D69&lt;=0,0,ROUND(D69*E69/12,2))</f>
        <v/>
      </c>
      <c r="G69" s="16">
        <f>IF(OR(D69&lt;=0,C69&gt;Parametry!$C$6),0,MIN(IF(C69&lt;=Parametry!$C$9+1,Parametry!$C$7,Parametry!$C$14),ROUND(D69+F69,2)))</f>
        <v/>
      </c>
      <c r="H69" s="18" t="n"/>
      <c r="I69" s="19">
        <f>IF(OR(L69&lt;=0,C69&gt;=Parametry!$C$6),0,INDEX(G:G,ROW()+1))</f>
        <v/>
      </c>
      <c r="J69" s="20">
        <f>IF(D69&lt;=0,0,MIN(G69+N(H69),ROUND(D69+F69,2)))</f>
        <v/>
      </c>
      <c r="K69" s="16">
        <f>IF(J69&lt;=0,0,ROUND(MAX(0,J69-F69),2))</f>
        <v/>
      </c>
      <c r="L69" s="20">
        <f>IF(D69&lt;=0,0,ROUND(MAX(0,D69-K69),2))</f>
        <v/>
      </c>
      <c r="M69" s="21">
        <f>IF(L69&lt;=0,0,IFERROR(MATCH(TRUE,INDEX(L69:L327&lt;=0,0),0),259))</f>
        <v/>
      </c>
    </row>
    <row r="70" ht="18" customHeight="1">
      <c r="A70" s="22" t="n">
        <v>68</v>
      </c>
      <c r="B70" s="23">
        <f>IF(C70&lt;=Parametry!$C$6,DATE(Parametry!$C$12+INT((Parametry!$C$13+68-2)/12),MOD(Parametry!$C$13+68-2,12)+1,Parametry!$C$11),"")</f>
        <v/>
      </c>
      <c r="C70" s="24" t="n">
        <v>68</v>
      </c>
      <c r="D70" s="25">
        <f>IF(C70&lt;=Parametry!$C$6,L69,0)</f>
        <v/>
      </c>
      <c r="E70" s="26">
        <f>IF(OR(D70&lt;=0,C70&gt;Parametry!$C$6),0,IF(C70&lt;=Parametry!$C$9+1,Parametry!$C$8,Parametry!$C$10))</f>
        <v/>
      </c>
      <c r="F70" s="25">
        <f>IF(D70&lt;=0,0,ROUND(D70*E70/12,2))</f>
        <v/>
      </c>
      <c r="G70" s="25">
        <f>IF(OR(D70&lt;=0,C70&gt;Parametry!$C$6),0,MIN(IF(C70&lt;=Parametry!$C$9+1,Parametry!$C$7,Parametry!$C$14),ROUND(D70+F70,2)))</f>
        <v/>
      </c>
      <c r="H70" s="18" t="n"/>
      <c r="I70" s="19">
        <f>IF(OR(L70&lt;=0,C70&gt;=Parametry!$C$6),0,INDEX(G:G,ROW()+1))</f>
        <v/>
      </c>
      <c r="J70" s="27">
        <f>IF(D70&lt;=0,0,MIN(G70+N(H70),ROUND(D70+F70,2)))</f>
        <v/>
      </c>
      <c r="K70" s="25">
        <f>IF(J70&lt;=0,0,ROUND(MAX(0,J70-F70),2))</f>
        <v/>
      </c>
      <c r="L70" s="27">
        <f>IF(D70&lt;=0,0,ROUND(MAX(0,D70-K70),2))</f>
        <v/>
      </c>
      <c r="M70" s="28">
        <f>IF(L70&lt;=0,0,IFERROR(MATCH(TRUE,INDEX(L70:L327&lt;=0,0),0),258))</f>
        <v/>
      </c>
    </row>
    <row r="71" ht="18" customHeight="1">
      <c r="A71" s="13" t="n">
        <v>69</v>
      </c>
      <c r="B71" s="14">
        <f>IF(C71&lt;=Parametry!$C$6,DATE(Parametry!$C$12+INT((Parametry!$C$13+69-2)/12),MOD(Parametry!$C$13+69-2,12)+1,Parametry!$C$11),"")</f>
        <v/>
      </c>
      <c r="C71" s="15" t="n">
        <v>69</v>
      </c>
      <c r="D71" s="16">
        <f>IF(C71&lt;=Parametry!$C$6,L70,0)</f>
        <v/>
      </c>
      <c r="E71" s="17">
        <f>IF(OR(D71&lt;=0,C71&gt;Parametry!$C$6),0,IF(C71&lt;=Parametry!$C$9+1,Parametry!$C$8,Parametry!$C$10))</f>
        <v/>
      </c>
      <c r="F71" s="16">
        <f>IF(D71&lt;=0,0,ROUND(D71*E71/12,2))</f>
        <v/>
      </c>
      <c r="G71" s="16">
        <f>IF(OR(D71&lt;=0,C71&gt;Parametry!$C$6),0,MIN(IF(C71&lt;=Parametry!$C$9+1,Parametry!$C$7,Parametry!$C$14),ROUND(D71+F71,2)))</f>
        <v/>
      </c>
      <c r="H71" s="18" t="n"/>
      <c r="I71" s="19">
        <f>IF(OR(L71&lt;=0,C71&gt;=Parametry!$C$6),0,INDEX(G:G,ROW()+1))</f>
        <v/>
      </c>
      <c r="J71" s="20">
        <f>IF(D71&lt;=0,0,MIN(G71+N(H71),ROUND(D71+F71,2)))</f>
        <v/>
      </c>
      <c r="K71" s="16">
        <f>IF(J71&lt;=0,0,ROUND(MAX(0,J71-F71),2))</f>
        <v/>
      </c>
      <c r="L71" s="20">
        <f>IF(D71&lt;=0,0,ROUND(MAX(0,D71-K71),2))</f>
        <v/>
      </c>
      <c r="M71" s="21">
        <f>IF(L71&lt;=0,0,IFERROR(MATCH(TRUE,INDEX(L71:L327&lt;=0,0),0),257))</f>
        <v/>
      </c>
    </row>
    <row r="72" ht="18" customHeight="1">
      <c r="A72" s="22" t="n">
        <v>70</v>
      </c>
      <c r="B72" s="23">
        <f>IF(C72&lt;=Parametry!$C$6,DATE(Parametry!$C$12+INT((Parametry!$C$13+70-2)/12),MOD(Parametry!$C$13+70-2,12)+1,Parametry!$C$11),"")</f>
        <v/>
      </c>
      <c r="C72" s="24" t="n">
        <v>70</v>
      </c>
      <c r="D72" s="25">
        <f>IF(C72&lt;=Parametry!$C$6,L71,0)</f>
        <v/>
      </c>
      <c r="E72" s="26">
        <f>IF(OR(D72&lt;=0,C72&gt;Parametry!$C$6),0,IF(C72&lt;=Parametry!$C$9+1,Parametry!$C$8,Parametry!$C$10))</f>
        <v/>
      </c>
      <c r="F72" s="25">
        <f>IF(D72&lt;=0,0,ROUND(D72*E72/12,2))</f>
        <v/>
      </c>
      <c r="G72" s="25">
        <f>IF(OR(D72&lt;=0,C72&gt;Parametry!$C$6),0,MIN(IF(C72&lt;=Parametry!$C$9+1,Parametry!$C$7,Parametry!$C$14),ROUND(D72+F72,2)))</f>
        <v/>
      </c>
      <c r="H72" s="18" t="n"/>
      <c r="I72" s="19">
        <f>IF(OR(L72&lt;=0,C72&gt;=Parametry!$C$6),0,INDEX(G:G,ROW()+1))</f>
        <v/>
      </c>
      <c r="J72" s="27">
        <f>IF(D72&lt;=0,0,MIN(G72+N(H72),ROUND(D72+F72,2)))</f>
        <v/>
      </c>
      <c r="K72" s="25">
        <f>IF(J72&lt;=0,0,ROUND(MAX(0,J72-F72),2))</f>
        <v/>
      </c>
      <c r="L72" s="27">
        <f>IF(D72&lt;=0,0,ROUND(MAX(0,D72-K72),2))</f>
        <v/>
      </c>
      <c r="M72" s="28">
        <f>IF(L72&lt;=0,0,IFERROR(MATCH(TRUE,INDEX(L72:L327&lt;=0,0),0),256))</f>
        <v/>
      </c>
    </row>
    <row r="73" ht="18" customHeight="1">
      <c r="A73" s="13" t="n">
        <v>71</v>
      </c>
      <c r="B73" s="14">
        <f>IF(C73&lt;=Parametry!$C$6,DATE(Parametry!$C$12+INT((Parametry!$C$13+71-2)/12),MOD(Parametry!$C$13+71-2,12)+1,Parametry!$C$11),"")</f>
        <v/>
      </c>
      <c r="C73" s="15" t="n">
        <v>71</v>
      </c>
      <c r="D73" s="16">
        <f>IF(C73&lt;=Parametry!$C$6,L72,0)</f>
        <v/>
      </c>
      <c r="E73" s="17">
        <f>IF(OR(D73&lt;=0,C73&gt;Parametry!$C$6),0,IF(C73&lt;=Parametry!$C$9+1,Parametry!$C$8,Parametry!$C$10))</f>
        <v/>
      </c>
      <c r="F73" s="16">
        <f>IF(D73&lt;=0,0,ROUND(D73*E73/12,2))</f>
        <v/>
      </c>
      <c r="G73" s="16">
        <f>IF(OR(D73&lt;=0,C73&gt;Parametry!$C$6),0,MIN(IF(C73&lt;=Parametry!$C$9+1,Parametry!$C$7,Parametry!$C$14),ROUND(D73+F73,2)))</f>
        <v/>
      </c>
      <c r="H73" s="18" t="n"/>
      <c r="I73" s="19">
        <f>IF(OR(L73&lt;=0,C73&gt;=Parametry!$C$6),0,INDEX(G:G,ROW()+1))</f>
        <v/>
      </c>
      <c r="J73" s="20">
        <f>IF(D73&lt;=0,0,MIN(G73+N(H73),ROUND(D73+F73,2)))</f>
        <v/>
      </c>
      <c r="K73" s="16">
        <f>IF(J73&lt;=0,0,ROUND(MAX(0,J73-F73),2))</f>
        <v/>
      </c>
      <c r="L73" s="20">
        <f>IF(D73&lt;=0,0,ROUND(MAX(0,D73-K73),2))</f>
        <v/>
      </c>
      <c r="M73" s="21">
        <f>IF(L73&lt;=0,0,IFERROR(MATCH(TRUE,INDEX(L73:L327&lt;=0,0),0),255))</f>
        <v/>
      </c>
    </row>
    <row r="74" ht="18" customHeight="1">
      <c r="A74" s="22" t="n">
        <v>72</v>
      </c>
      <c r="B74" s="23">
        <f>IF(C74&lt;=Parametry!$C$6,DATE(Parametry!$C$12+INT((Parametry!$C$13+72-2)/12),MOD(Parametry!$C$13+72-2,12)+1,Parametry!$C$11),"")</f>
        <v/>
      </c>
      <c r="C74" s="24" t="n">
        <v>72</v>
      </c>
      <c r="D74" s="25">
        <f>IF(C74&lt;=Parametry!$C$6,L73,0)</f>
        <v/>
      </c>
      <c r="E74" s="26">
        <f>IF(OR(D74&lt;=0,C74&gt;Parametry!$C$6),0,IF(C74&lt;=Parametry!$C$9+1,Parametry!$C$8,Parametry!$C$10))</f>
        <v/>
      </c>
      <c r="F74" s="25">
        <f>IF(D74&lt;=0,0,ROUND(D74*E74/12,2))</f>
        <v/>
      </c>
      <c r="G74" s="25">
        <f>IF(OR(D74&lt;=0,C74&gt;Parametry!$C$6),0,MIN(IF(C74&lt;=Parametry!$C$9+1,Parametry!$C$7,Parametry!$C$14),ROUND(D74+F74,2)))</f>
        <v/>
      </c>
      <c r="H74" s="18" t="n"/>
      <c r="I74" s="19">
        <f>IF(OR(L74&lt;=0,C74&gt;=Parametry!$C$6),0,INDEX(G:G,ROW()+1))</f>
        <v/>
      </c>
      <c r="J74" s="27">
        <f>IF(D74&lt;=0,0,MIN(G74+N(H74),ROUND(D74+F74,2)))</f>
        <v/>
      </c>
      <c r="K74" s="25">
        <f>IF(J74&lt;=0,0,ROUND(MAX(0,J74-F74),2))</f>
        <v/>
      </c>
      <c r="L74" s="27">
        <f>IF(D74&lt;=0,0,ROUND(MAX(0,D74-K74),2))</f>
        <v/>
      </c>
      <c r="M74" s="28">
        <f>IF(L74&lt;=0,0,IFERROR(MATCH(TRUE,INDEX(L74:L327&lt;=0,0),0),254))</f>
        <v/>
      </c>
    </row>
    <row r="75" ht="18" customHeight="1">
      <c r="A75" s="13" t="n">
        <v>73</v>
      </c>
      <c r="B75" s="14">
        <f>IF(C75&lt;=Parametry!$C$6,DATE(Parametry!$C$12+INT((Parametry!$C$13+73-2)/12),MOD(Parametry!$C$13+73-2,12)+1,Parametry!$C$11),"")</f>
        <v/>
      </c>
      <c r="C75" s="15" t="n">
        <v>73</v>
      </c>
      <c r="D75" s="16">
        <f>IF(C75&lt;=Parametry!$C$6,L74,0)</f>
        <v/>
      </c>
      <c r="E75" s="17">
        <f>IF(OR(D75&lt;=0,C75&gt;Parametry!$C$6),0,IF(C75&lt;=Parametry!$C$9+1,Parametry!$C$8,Parametry!$C$10))</f>
        <v/>
      </c>
      <c r="F75" s="16">
        <f>IF(D75&lt;=0,0,ROUND(D75*E75/12,2))</f>
        <v/>
      </c>
      <c r="G75" s="16">
        <f>IF(OR(D75&lt;=0,C75&gt;Parametry!$C$6),0,MIN(IF(C75&lt;=Parametry!$C$9+1,Parametry!$C$7,Parametry!$C$14),ROUND(D75+F75,2)))</f>
        <v/>
      </c>
      <c r="H75" s="18" t="n"/>
      <c r="I75" s="19">
        <f>IF(OR(L75&lt;=0,C75&gt;=Parametry!$C$6),0,INDEX(G:G,ROW()+1))</f>
        <v/>
      </c>
      <c r="J75" s="20">
        <f>IF(D75&lt;=0,0,MIN(G75+N(H75),ROUND(D75+F75,2)))</f>
        <v/>
      </c>
      <c r="K75" s="16">
        <f>IF(J75&lt;=0,0,ROUND(MAX(0,J75-F75),2))</f>
        <v/>
      </c>
      <c r="L75" s="20">
        <f>IF(D75&lt;=0,0,ROUND(MAX(0,D75-K75),2))</f>
        <v/>
      </c>
      <c r="M75" s="21">
        <f>IF(L75&lt;=0,0,IFERROR(MATCH(TRUE,INDEX(L75:L327&lt;=0,0),0),253))</f>
        <v/>
      </c>
    </row>
    <row r="76" ht="18" customHeight="1">
      <c r="A76" s="22" t="n">
        <v>74</v>
      </c>
      <c r="B76" s="23">
        <f>IF(C76&lt;=Parametry!$C$6,DATE(Parametry!$C$12+INT((Parametry!$C$13+74-2)/12),MOD(Parametry!$C$13+74-2,12)+1,Parametry!$C$11),"")</f>
        <v/>
      </c>
      <c r="C76" s="24" t="n">
        <v>74</v>
      </c>
      <c r="D76" s="25">
        <f>IF(C76&lt;=Parametry!$C$6,L75,0)</f>
        <v/>
      </c>
      <c r="E76" s="26">
        <f>IF(OR(D76&lt;=0,C76&gt;Parametry!$C$6),0,IF(C76&lt;=Parametry!$C$9+1,Parametry!$C$8,Parametry!$C$10))</f>
        <v/>
      </c>
      <c r="F76" s="25">
        <f>IF(D76&lt;=0,0,ROUND(D76*E76/12,2))</f>
        <v/>
      </c>
      <c r="G76" s="25">
        <f>IF(OR(D76&lt;=0,C76&gt;Parametry!$C$6),0,MIN(IF(C76&lt;=Parametry!$C$9+1,Parametry!$C$7,Parametry!$C$14),ROUND(D76+F76,2)))</f>
        <v/>
      </c>
      <c r="H76" s="18" t="n"/>
      <c r="I76" s="19">
        <f>IF(OR(L76&lt;=0,C76&gt;=Parametry!$C$6),0,INDEX(G:G,ROW()+1))</f>
        <v/>
      </c>
      <c r="J76" s="27">
        <f>IF(D76&lt;=0,0,MIN(G76+N(H76),ROUND(D76+F76,2)))</f>
        <v/>
      </c>
      <c r="K76" s="25">
        <f>IF(J76&lt;=0,0,ROUND(MAX(0,J76-F76),2))</f>
        <v/>
      </c>
      <c r="L76" s="27">
        <f>IF(D76&lt;=0,0,ROUND(MAX(0,D76-K76),2))</f>
        <v/>
      </c>
      <c r="M76" s="28">
        <f>IF(L76&lt;=0,0,IFERROR(MATCH(TRUE,INDEX(L76:L327&lt;=0,0),0),252))</f>
        <v/>
      </c>
    </row>
    <row r="77" ht="18" customHeight="1">
      <c r="A77" s="13" t="n">
        <v>75</v>
      </c>
      <c r="B77" s="14">
        <f>IF(C77&lt;=Parametry!$C$6,DATE(Parametry!$C$12+INT((Parametry!$C$13+75-2)/12),MOD(Parametry!$C$13+75-2,12)+1,Parametry!$C$11),"")</f>
        <v/>
      </c>
      <c r="C77" s="15" t="n">
        <v>75</v>
      </c>
      <c r="D77" s="16">
        <f>IF(C77&lt;=Parametry!$C$6,L76,0)</f>
        <v/>
      </c>
      <c r="E77" s="17">
        <f>IF(OR(D77&lt;=0,C77&gt;Parametry!$C$6),0,IF(C77&lt;=Parametry!$C$9+1,Parametry!$C$8,Parametry!$C$10))</f>
        <v/>
      </c>
      <c r="F77" s="16">
        <f>IF(D77&lt;=0,0,ROUND(D77*E77/12,2))</f>
        <v/>
      </c>
      <c r="G77" s="16">
        <f>IF(OR(D77&lt;=0,C77&gt;Parametry!$C$6),0,MIN(IF(C77&lt;=Parametry!$C$9+1,Parametry!$C$7,Parametry!$C$14),ROUND(D77+F77,2)))</f>
        <v/>
      </c>
      <c r="H77" s="18" t="n"/>
      <c r="I77" s="19">
        <f>IF(OR(L77&lt;=0,C77&gt;=Parametry!$C$6),0,INDEX(G:G,ROW()+1))</f>
        <v/>
      </c>
      <c r="J77" s="20">
        <f>IF(D77&lt;=0,0,MIN(G77+N(H77),ROUND(D77+F77,2)))</f>
        <v/>
      </c>
      <c r="K77" s="16">
        <f>IF(J77&lt;=0,0,ROUND(MAX(0,J77-F77),2))</f>
        <v/>
      </c>
      <c r="L77" s="20">
        <f>IF(D77&lt;=0,0,ROUND(MAX(0,D77-K77),2))</f>
        <v/>
      </c>
      <c r="M77" s="21">
        <f>IF(L77&lt;=0,0,IFERROR(MATCH(TRUE,INDEX(L77:L327&lt;=0,0),0),251))</f>
        <v/>
      </c>
    </row>
    <row r="78" ht="18" customHeight="1">
      <c r="A78" s="22" t="n">
        <v>76</v>
      </c>
      <c r="B78" s="23">
        <f>IF(C78&lt;=Parametry!$C$6,DATE(Parametry!$C$12+INT((Parametry!$C$13+76-2)/12),MOD(Parametry!$C$13+76-2,12)+1,Parametry!$C$11),"")</f>
        <v/>
      </c>
      <c r="C78" s="24" t="n">
        <v>76</v>
      </c>
      <c r="D78" s="25">
        <f>IF(C78&lt;=Parametry!$C$6,L77,0)</f>
        <v/>
      </c>
      <c r="E78" s="26">
        <f>IF(OR(D78&lt;=0,C78&gt;Parametry!$C$6),0,IF(C78&lt;=Parametry!$C$9+1,Parametry!$C$8,Parametry!$C$10))</f>
        <v/>
      </c>
      <c r="F78" s="25">
        <f>IF(D78&lt;=0,0,ROUND(D78*E78/12,2))</f>
        <v/>
      </c>
      <c r="G78" s="25">
        <f>IF(OR(D78&lt;=0,C78&gt;Parametry!$C$6),0,MIN(IF(C78&lt;=Parametry!$C$9+1,Parametry!$C$7,Parametry!$C$14),ROUND(D78+F78,2)))</f>
        <v/>
      </c>
      <c r="H78" s="18" t="n"/>
      <c r="I78" s="19">
        <f>IF(OR(L78&lt;=0,C78&gt;=Parametry!$C$6),0,INDEX(G:G,ROW()+1))</f>
        <v/>
      </c>
      <c r="J78" s="27">
        <f>IF(D78&lt;=0,0,MIN(G78+N(H78),ROUND(D78+F78,2)))</f>
        <v/>
      </c>
      <c r="K78" s="25">
        <f>IF(J78&lt;=0,0,ROUND(MAX(0,J78-F78),2))</f>
        <v/>
      </c>
      <c r="L78" s="27">
        <f>IF(D78&lt;=0,0,ROUND(MAX(0,D78-K78),2))</f>
        <v/>
      </c>
      <c r="M78" s="28">
        <f>IF(L78&lt;=0,0,IFERROR(MATCH(TRUE,INDEX(L78:L327&lt;=0,0),0),250))</f>
        <v/>
      </c>
    </row>
    <row r="79" ht="18" customHeight="1">
      <c r="A79" s="13" t="n">
        <v>77</v>
      </c>
      <c r="B79" s="14">
        <f>IF(C79&lt;=Parametry!$C$6,DATE(Parametry!$C$12+INT((Parametry!$C$13+77-2)/12),MOD(Parametry!$C$13+77-2,12)+1,Parametry!$C$11),"")</f>
        <v/>
      </c>
      <c r="C79" s="15" t="n">
        <v>77</v>
      </c>
      <c r="D79" s="16">
        <f>IF(C79&lt;=Parametry!$C$6,L78,0)</f>
        <v/>
      </c>
      <c r="E79" s="17">
        <f>IF(OR(D79&lt;=0,C79&gt;Parametry!$C$6),0,IF(C79&lt;=Parametry!$C$9+1,Parametry!$C$8,Parametry!$C$10))</f>
        <v/>
      </c>
      <c r="F79" s="16">
        <f>IF(D79&lt;=0,0,ROUND(D79*E79/12,2))</f>
        <v/>
      </c>
      <c r="G79" s="16">
        <f>IF(OR(D79&lt;=0,C79&gt;Parametry!$C$6),0,MIN(IF(C79&lt;=Parametry!$C$9+1,Parametry!$C$7,Parametry!$C$14),ROUND(D79+F79,2)))</f>
        <v/>
      </c>
      <c r="H79" s="18" t="n"/>
      <c r="I79" s="19">
        <f>IF(OR(L79&lt;=0,C79&gt;=Parametry!$C$6),0,INDEX(G:G,ROW()+1))</f>
        <v/>
      </c>
      <c r="J79" s="20">
        <f>IF(D79&lt;=0,0,MIN(G79+N(H79),ROUND(D79+F79,2)))</f>
        <v/>
      </c>
      <c r="K79" s="16">
        <f>IF(J79&lt;=0,0,ROUND(MAX(0,J79-F79),2))</f>
        <v/>
      </c>
      <c r="L79" s="20">
        <f>IF(D79&lt;=0,0,ROUND(MAX(0,D79-K79),2))</f>
        <v/>
      </c>
      <c r="M79" s="21">
        <f>IF(L79&lt;=0,0,IFERROR(MATCH(TRUE,INDEX(L79:L327&lt;=0,0),0),249))</f>
        <v/>
      </c>
    </row>
    <row r="80" ht="18" customHeight="1">
      <c r="A80" s="22" t="n">
        <v>78</v>
      </c>
      <c r="B80" s="23">
        <f>IF(C80&lt;=Parametry!$C$6,DATE(Parametry!$C$12+INT((Parametry!$C$13+78-2)/12),MOD(Parametry!$C$13+78-2,12)+1,Parametry!$C$11),"")</f>
        <v/>
      </c>
      <c r="C80" s="24" t="n">
        <v>78</v>
      </c>
      <c r="D80" s="25">
        <f>IF(C80&lt;=Parametry!$C$6,L79,0)</f>
        <v/>
      </c>
      <c r="E80" s="26">
        <f>IF(OR(D80&lt;=0,C80&gt;Parametry!$C$6),0,IF(C80&lt;=Parametry!$C$9+1,Parametry!$C$8,Parametry!$C$10))</f>
        <v/>
      </c>
      <c r="F80" s="25">
        <f>IF(D80&lt;=0,0,ROUND(D80*E80/12,2))</f>
        <v/>
      </c>
      <c r="G80" s="25">
        <f>IF(OR(D80&lt;=0,C80&gt;Parametry!$C$6),0,MIN(IF(C80&lt;=Parametry!$C$9+1,Parametry!$C$7,Parametry!$C$14),ROUND(D80+F80,2)))</f>
        <v/>
      </c>
      <c r="H80" s="18" t="n"/>
      <c r="I80" s="19">
        <f>IF(OR(L80&lt;=0,C80&gt;=Parametry!$C$6),0,INDEX(G:G,ROW()+1))</f>
        <v/>
      </c>
      <c r="J80" s="27">
        <f>IF(D80&lt;=0,0,MIN(G80+N(H80),ROUND(D80+F80,2)))</f>
        <v/>
      </c>
      <c r="K80" s="25">
        <f>IF(J80&lt;=0,0,ROUND(MAX(0,J80-F80),2))</f>
        <v/>
      </c>
      <c r="L80" s="27">
        <f>IF(D80&lt;=0,0,ROUND(MAX(0,D80-K80),2))</f>
        <v/>
      </c>
      <c r="M80" s="28">
        <f>IF(L80&lt;=0,0,IFERROR(MATCH(TRUE,INDEX(L80:L327&lt;=0,0),0),248))</f>
        <v/>
      </c>
    </row>
    <row r="81" ht="18" customHeight="1">
      <c r="A81" s="13" t="n">
        <v>79</v>
      </c>
      <c r="B81" s="14">
        <f>IF(C81&lt;=Parametry!$C$6,DATE(Parametry!$C$12+INT((Parametry!$C$13+79-2)/12),MOD(Parametry!$C$13+79-2,12)+1,Parametry!$C$11),"")</f>
        <v/>
      </c>
      <c r="C81" s="15" t="n">
        <v>79</v>
      </c>
      <c r="D81" s="16">
        <f>IF(C81&lt;=Parametry!$C$6,L80,0)</f>
        <v/>
      </c>
      <c r="E81" s="17">
        <f>IF(OR(D81&lt;=0,C81&gt;Parametry!$C$6),0,IF(C81&lt;=Parametry!$C$9+1,Parametry!$C$8,Parametry!$C$10))</f>
        <v/>
      </c>
      <c r="F81" s="16">
        <f>IF(D81&lt;=0,0,ROUND(D81*E81/12,2))</f>
        <v/>
      </c>
      <c r="G81" s="16">
        <f>IF(OR(D81&lt;=0,C81&gt;Parametry!$C$6),0,MIN(IF(C81&lt;=Parametry!$C$9+1,Parametry!$C$7,Parametry!$C$14),ROUND(D81+F81,2)))</f>
        <v/>
      </c>
      <c r="H81" s="18" t="n"/>
      <c r="I81" s="19">
        <f>IF(OR(L81&lt;=0,C81&gt;=Parametry!$C$6),0,INDEX(G:G,ROW()+1))</f>
        <v/>
      </c>
      <c r="J81" s="20">
        <f>IF(D81&lt;=0,0,MIN(G81+N(H81),ROUND(D81+F81,2)))</f>
        <v/>
      </c>
      <c r="K81" s="16">
        <f>IF(J81&lt;=0,0,ROUND(MAX(0,J81-F81),2))</f>
        <v/>
      </c>
      <c r="L81" s="20">
        <f>IF(D81&lt;=0,0,ROUND(MAX(0,D81-K81),2))</f>
        <v/>
      </c>
      <c r="M81" s="21">
        <f>IF(L81&lt;=0,0,IFERROR(MATCH(TRUE,INDEX(L81:L327&lt;=0,0),0),247))</f>
        <v/>
      </c>
    </row>
    <row r="82" ht="18" customHeight="1">
      <c r="A82" s="22" t="n">
        <v>80</v>
      </c>
      <c r="B82" s="23">
        <f>IF(C82&lt;=Parametry!$C$6,DATE(Parametry!$C$12+INT((Parametry!$C$13+80-2)/12),MOD(Parametry!$C$13+80-2,12)+1,Parametry!$C$11),"")</f>
        <v/>
      </c>
      <c r="C82" s="24" t="n">
        <v>80</v>
      </c>
      <c r="D82" s="25">
        <f>IF(C82&lt;=Parametry!$C$6,L81,0)</f>
        <v/>
      </c>
      <c r="E82" s="26">
        <f>IF(OR(D82&lt;=0,C82&gt;Parametry!$C$6),0,IF(C82&lt;=Parametry!$C$9+1,Parametry!$C$8,Parametry!$C$10))</f>
        <v/>
      </c>
      <c r="F82" s="25">
        <f>IF(D82&lt;=0,0,ROUND(D82*E82/12,2))</f>
        <v/>
      </c>
      <c r="G82" s="25">
        <f>IF(OR(D82&lt;=0,C82&gt;Parametry!$C$6),0,MIN(IF(C82&lt;=Parametry!$C$9+1,Parametry!$C$7,Parametry!$C$14),ROUND(D82+F82,2)))</f>
        <v/>
      </c>
      <c r="H82" s="18" t="n"/>
      <c r="I82" s="19">
        <f>IF(OR(L82&lt;=0,C82&gt;=Parametry!$C$6),0,INDEX(G:G,ROW()+1))</f>
        <v/>
      </c>
      <c r="J82" s="27">
        <f>IF(D82&lt;=0,0,MIN(G82+N(H82),ROUND(D82+F82,2)))</f>
        <v/>
      </c>
      <c r="K82" s="25">
        <f>IF(J82&lt;=0,0,ROUND(MAX(0,J82-F82),2))</f>
        <v/>
      </c>
      <c r="L82" s="27">
        <f>IF(D82&lt;=0,0,ROUND(MAX(0,D82-K82),2))</f>
        <v/>
      </c>
      <c r="M82" s="28">
        <f>IF(L82&lt;=0,0,IFERROR(MATCH(TRUE,INDEX(L82:L327&lt;=0,0),0),246))</f>
        <v/>
      </c>
    </row>
    <row r="83" ht="18" customHeight="1">
      <c r="A83" s="13" t="n">
        <v>81</v>
      </c>
      <c r="B83" s="14">
        <f>IF(C83&lt;=Parametry!$C$6,DATE(Parametry!$C$12+INT((Parametry!$C$13+81-2)/12),MOD(Parametry!$C$13+81-2,12)+1,Parametry!$C$11),"")</f>
        <v/>
      </c>
      <c r="C83" s="15" t="n">
        <v>81</v>
      </c>
      <c r="D83" s="16">
        <f>IF(C83&lt;=Parametry!$C$6,L82,0)</f>
        <v/>
      </c>
      <c r="E83" s="17">
        <f>IF(OR(D83&lt;=0,C83&gt;Parametry!$C$6),0,IF(C83&lt;=Parametry!$C$9+1,Parametry!$C$8,Parametry!$C$10))</f>
        <v/>
      </c>
      <c r="F83" s="16">
        <f>IF(D83&lt;=0,0,ROUND(D83*E83/12,2))</f>
        <v/>
      </c>
      <c r="G83" s="16">
        <f>IF(OR(D83&lt;=0,C83&gt;Parametry!$C$6),0,MIN(IF(C83&lt;=Parametry!$C$9+1,Parametry!$C$7,Parametry!$C$14),ROUND(D83+F83,2)))</f>
        <v/>
      </c>
      <c r="H83" s="18" t="n"/>
      <c r="I83" s="19">
        <f>IF(OR(L83&lt;=0,C83&gt;=Parametry!$C$6),0,INDEX(G:G,ROW()+1))</f>
        <v/>
      </c>
      <c r="J83" s="20">
        <f>IF(D83&lt;=0,0,MIN(G83+N(H83),ROUND(D83+F83,2)))</f>
        <v/>
      </c>
      <c r="K83" s="16">
        <f>IF(J83&lt;=0,0,ROUND(MAX(0,J83-F83),2))</f>
        <v/>
      </c>
      <c r="L83" s="20">
        <f>IF(D83&lt;=0,0,ROUND(MAX(0,D83-K83),2))</f>
        <v/>
      </c>
      <c r="M83" s="21">
        <f>IF(L83&lt;=0,0,IFERROR(MATCH(TRUE,INDEX(L83:L327&lt;=0,0),0),245))</f>
        <v/>
      </c>
    </row>
    <row r="84" ht="18" customHeight="1">
      <c r="A84" s="22" t="n">
        <v>82</v>
      </c>
      <c r="B84" s="23">
        <f>IF(C84&lt;=Parametry!$C$6,DATE(Parametry!$C$12+INT((Parametry!$C$13+82-2)/12),MOD(Parametry!$C$13+82-2,12)+1,Parametry!$C$11),"")</f>
        <v/>
      </c>
      <c r="C84" s="24" t="n">
        <v>82</v>
      </c>
      <c r="D84" s="25">
        <f>IF(C84&lt;=Parametry!$C$6,L83,0)</f>
        <v/>
      </c>
      <c r="E84" s="26">
        <f>IF(OR(D84&lt;=0,C84&gt;Parametry!$C$6),0,IF(C84&lt;=Parametry!$C$9+1,Parametry!$C$8,Parametry!$C$10))</f>
        <v/>
      </c>
      <c r="F84" s="25">
        <f>IF(D84&lt;=0,0,ROUND(D84*E84/12,2))</f>
        <v/>
      </c>
      <c r="G84" s="25">
        <f>IF(OR(D84&lt;=0,C84&gt;Parametry!$C$6),0,MIN(IF(C84&lt;=Parametry!$C$9+1,Parametry!$C$7,Parametry!$C$14),ROUND(D84+F84,2)))</f>
        <v/>
      </c>
      <c r="H84" s="18" t="n"/>
      <c r="I84" s="19">
        <f>IF(OR(L84&lt;=0,C84&gt;=Parametry!$C$6),0,INDEX(G:G,ROW()+1))</f>
        <v/>
      </c>
      <c r="J84" s="27">
        <f>IF(D84&lt;=0,0,MIN(G84+N(H84),ROUND(D84+F84,2)))</f>
        <v/>
      </c>
      <c r="K84" s="25">
        <f>IF(J84&lt;=0,0,ROUND(MAX(0,J84-F84),2))</f>
        <v/>
      </c>
      <c r="L84" s="27">
        <f>IF(D84&lt;=0,0,ROUND(MAX(0,D84-K84),2))</f>
        <v/>
      </c>
      <c r="M84" s="28">
        <f>IF(L84&lt;=0,0,IFERROR(MATCH(TRUE,INDEX(L84:L327&lt;=0,0),0),244))</f>
        <v/>
      </c>
    </row>
    <row r="85" ht="18" customHeight="1">
      <c r="A85" s="13" t="n">
        <v>83</v>
      </c>
      <c r="B85" s="14">
        <f>IF(C85&lt;=Parametry!$C$6,DATE(Parametry!$C$12+INT((Parametry!$C$13+83-2)/12),MOD(Parametry!$C$13+83-2,12)+1,Parametry!$C$11),"")</f>
        <v/>
      </c>
      <c r="C85" s="15" t="n">
        <v>83</v>
      </c>
      <c r="D85" s="16">
        <f>IF(C85&lt;=Parametry!$C$6,L84,0)</f>
        <v/>
      </c>
      <c r="E85" s="17">
        <f>IF(OR(D85&lt;=0,C85&gt;Parametry!$C$6),0,IF(C85&lt;=Parametry!$C$9+1,Parametry!$C$8,Parametry!$C$10))</f>
        <v/>
      </c>
      <c r="F85" s="16">
        <f>IF(D85&lt;=0,0,ROUND(D85*E85/12,2))</f>
        <v/>
      </c>
      <c r="G85" s="16">
        <f>IF(OR(D85&lt;=0,C85&gt;Parametry!$C$6),0,MIN(IF(C85&lt;=Parametry!$C$9+1,Parametry!$C$7,Parametry!$C$14),ROUND(D85+F85,2)))</f>
        <v/>
      </c>
      <c r="H85" s="18" t="n"/>
      <c r="I85" s="19">
        <f>IF(OR(L85&lt;=0,C85&gt;=Parametry!$C$6),0,INDEX(G:G,ROW()+1))</f>
        <v/>
      </c>
      <c r="J85" s="20">
        <f>IF(D85&lt;=0,0,MIN(G85+N(H85),ROUND(D85+F85,2)))</f>
        <v/>
      </c>
      <c r="K85" s="16">
        <f>IF(J85&lt;=0,0,ROUND(MAX(0,J85-F85),2))</f>
        <v/>
      </c>
      <c r="L85" s="20">
        <f>IF(D85&lt;=0,0,ROUND(MAX(0,D85-K85),2))</f>
        <v/>
      </c>
      <c r="M85" s="21">
        <f>IF(L85&lt;=0,0,IFERROR(MATCH(TRUE,INDEX(L85:L327&lt;=0,0),0),243))</f>
        <v/>
      </c>
    </row>
    <row r="86" ht="18" customHeight="1">
      <c r="A86" s="22" t="n">
        <v>84</v>
      </c>
      <c r="B86" s="23">
        <f>IF(C86&lt;=Parametry!$C$6,DATE(Parametry!$C$12+INT((Parametry!$C$13+84-2)/12),MOD(Parametry!$C$13+84-2,12)+1,Parametry!$C$11),"")</f>
        <v/>
      </c>
      <c r="C86" s="24" t="n">
        <v>84</v>
      </c>
      <c r="D86" s="25">
        <f>IF(C86&lt;=Parametry!$C$6,L85,0)</f>
        <v/>
      </c>
      <c r="E86" s="26">
        <f>IF(OR(D86&lt;=0,C86&gt;Parametry!$C$6),0,IF(C86&lt;=Parametry!$C$9+1,Parametry!$C$8,Parametry!$C$10))</f>
        <v/>
      </c>
      <c r="F86" s="25">
        <f>IF(D86&lt;=0,0,ROUND(D86*E86/12,2))</f>
        <v/>
      </c>
      <c r="G86" s="25">
        <f>IF(OR(D86&lt;=0,C86&gt;Parametry!$C$6),0,MIN(IF(C86&lt;=Parametry!$C$9+1,Parametry!$C$7,Parametry!$C$14),ROUND(D86+F86,2)))</f>
        <v/>
      </c>
      <c r="H86" s="18" t="n"/>
      <c r="I86" s="19">
        <f>IF(OR(L86&lt;=0,C86&gt;=Parametry!$C$6),0,INDEX(G:G,ROW()+1))</f>
        <v/>
      </c>
      <c r="J86" s="27">
        <f>IF(D86&lt;=0,0,MIN(G86+N(H86),ROUND(D86+F86,2)))</f>
        <v/>
      </c>
      <c r="K86" s="25">
        <f>IF(J86&lt;=0,0,ROUND(MAX(0,J86-F86),2))</f>
        <v/>
      </c>
      <c r="L86" s="27">
        <f>IF(D86&lt;=0,0,ROUND(MAX(0,D86-K86),2))</f>
        <v/>
      </c>
      <c r="M86" s="28">
        <f>IF(L86&lt;=0,0,IFERROR(MATCH(TRUE,INDEX(L86:L327&lt;=0,0),0),242))</f>
        <v/>
      </c>
    </row>
    <row r="87" ht="18" customHeight="1">
      <c r="A87" s="13" t="n">
        <v>85</v>
      </c>
      <c r="B87" s="14">
        <f>IF(C87&lt;=Parametry!$C$6,DATE(Parametry!$C$12+INT((Parametry!$C$13+85-2)/12),MOD(Parametry!$C$13+85-2,12)+1,Parametry!$C$11),"")</f>
        <v/>
      </c>
      <c r="C87" s="15" t="n">
        <v>85</v>
      </c>
      <c r="D87" s="16">
        <f>IF(C87&lt;=Parametry!$C$6,L86,0)</f>
        <v/>
      </c>
      <c r="E87" s="17">
        <f>IF(OR(D87&lt;=0,C87&gt;Parametry!$C$6),0,IF(C87&lt;=Parametry!$C$9+1,Parametry!$C$8,Parametry!$C$10))</f>
        <v/>
      </c>
      <c r="F87" s="16">
        <f>IF(D87&lt;=0,0,ROUND(D87*E87/12,2))</f>
        <v/>
      </c>
      <c r="G87" s="16">
        <f>IF(OR(D87&lt;=0,C87&gt;Parametry!$C$6),0,MIN(IF(C87&lt;=Parametry!$C$9+1,Parametry!$C$7,Parametry!$C$14),ROUND(D87+F87,2)))</f>
        <v/>
      </c>
      <c r="H87" s="18" t="n"/>
      <c r="I87" s="19">
        <f>IF(OR(L87&lt;=0,C87&gt;=Parametry!$C$6),0,INDEX(G:G,ROW()+1))</f>
        <v/>
      </c>
      <c r="J87" s="20">
        <f>IF(D87&lt;=0,0,MIN(G87+N(H87),ROUND(D87+F87,2)))</f>
        <v/>
      </c>
      <c r="K87" s="16">
        <f>IF(J87&lt;=0,0,ROUND(MAX(0,J87-F87),2))</f>
        <v/>
      </c>
      <c r="L87" s="20">
        <f>IF(D87&lt;=0,0,ROUND(MAX(0,D87-K87),2))</f>
        <v/>
      </c>
      <c r="M87" s="21">
        <f>IF(L87&lt;=0,0,IFERROR(MATCH(TRUE,INDEX(L87:L327&lt;=0,0),0),241))</f>
        <v/>
      </c>
    </row>
    <row r="88" ht="18" customHeight="1">
      <c r="A88" s="22" t="n">
        <v>86</v>
      </c>
      <c r="B88" s="23">
        <f>IF(C88&lt;=Parametry!$C$6,DATE(Parametry!$C$12+INT((Parametry!$C$13+86-2)/12),MOD(Parametry!$C$13+86-2,12)+1,Parametry!$C$11),"")</f>
        <v/>
      </c>
      <c r="C88" s="24" t="n">
        <v>86</v>
      </c>
      <c r="D88" s="25">
        <f>IF(C88&lt;=Parametry!$C$6,L87,0)</f>
        <v/>
      </c>
      <c r="E88" s="26">
        <f>IF(OR(D88&lt;=0,C88&gt;Parametry!$C$6),0,IF(C88&lt;=Parametry!$C$9+1,Parametry!$C$8,Parametry!$C$10))</f>
        <v/>
      </c>
      <c r="F88" s="25">
        <f>IF(D88&lt;=0,0,ROUND(D88*E88/12,2))</f>
        <v/>
      </c>
      <c r="G88" s="25">
        <f>IF(OR(D88&lt;=0,C88&gt;Parametry!$C$6),0,MIN(IF(C88&lt;=Parametry!$C$9+1,Parametry!$C$7,Parametry!$C$14),ROUND(D88+F88,2)))</f>
        <v/>
      </c>
      <c r="H88" s="18" t="n"/>
      <c r="I88" s="19">
        <f>IF(OR(L88&lt;=0,C88&gt;=Parametry!$C$6),0,INDEX(G:G,ROW()+1))</f>
        <v/>
      </c>
      <c r="J88" s="27">
        <f>IF(D88&lt;=0,0,MIN(G88+N(H88),ROUND(D88+F88,2)))</f>
        <v/>
      </c>
      <c r="K88" s="25">
        <f>IF(J88&lt;=0,0,ROUND(MAX(0,J88-F88),2))</f>
        <v/>
      </c>
      <c r="L88" s="27">
        <f>IF(D88&lt;=0,0,ROUND(MAX(0,D88-K88),2))</f>
        <v/>
      </c>
      <c r="M88" s="28">
        <f>IF(L88&lt;=0,0,IFERROR(MATCH(TRUE,INDEX(L88:L327&lt;=0,0),0),240))</f>
        <v/>
      </c>
    </row>
    <row r="89" ht="18" customHeight="1">
      <c r="A89" s="13" t="n">
        <v>87</v>
      </c>
      <c r="B89" s="14">
        <f>IF(C89&lt;=Parametry!$C$6,DATE(Parametry!$C$12+INT((Parametry!$C$13+87-2)/12),MOD(Parametry!$C$13+87-2,12)+1,Parametry!$C$11),"")</f>
        <v/>
      </c>
      <c r="C89" s="15" t="n">
        <v>87</v>
      </c>
      <c r="D89" s="16">
        <f>IF(C89&lt;=Parametry!$C$6,L88,0)</f>
        <v/>
      </c>
      <c r="E89" s="17">
        <f>IF(OR(D89&lt;=0,C89&gt;Parametry!$C$6),0,IF(C89&lt;=Parametry!$C$9+1,Parametry!$C$8,Parametry!$C$10))</f>
        <v/>
      </c>
      <c r="F89" s="16">
        <f>IF(D89&lt;=0,0,ROUND(D89*E89/12,2))</f>
        <v/>
      </c>
      <c r="G89" s="16">
        <f>IF(OR(D89&lt;=0,C89&gt;Parametry!$C$6),0,MIN(IF(C89&lt;=Parametry!$C$9+1,Parametry!$C$7,Parametry!$C$14),ROUND(D89+F89,2)))</f>
        <v/>
      </c>
      <c r="H89" s="18" t="n"/>
      <c r="I89" s="19">
        <f>IF(OR(L89&lt;=0,C89&gt;=Parametry!$C$6),0,INDEX(G:G,ROW()+1))</f>
        <v/>
      </c>
      <c r="J89" s="20">
        <f>IF(D89&lt;=0,0,MIN(G89+N(H89),ROUND(D89+F89,2)))</f>
        <v/>
      </c>
      <c r="K89" s="16">
        <f>IF(J89&lt;=0,0,ROUND(MAX(0,J89-F89),2))</f>
        <v/>
      </c>
      <c r="L89" s="20">
        <f>IF(D89&lt;=0,0,ROUND(MAX(0,D89-K89),2))</f>
        <v/>
      </c>
      <c r="M89" s="21">
        <f>IF(L89&lt;=0,0,IFERROR(MATCH(TRUE,INDEX(L89:L327&lt;=0,0),0),239))</f>
        <v/>
      </c>
    </row>
    <row r="90" ht="18" customHeight="1">
      <c r="A90" s="22" t="n">
        <v>88</v>
      </c>
      <c r="B90" s="23">
        <f>IF(C90&lt;=Parametry!$C$6,DATE(Parametry!$C$12+INT((Parametry!$C$13+88-2)/12),MOD(Parametry!$C$13+88-2,12)+1,Parametry!$C$11),"")</f>
        <v/>
      </c>
      <c r="C90" s="24" t="n">
        <v>88</v>
      </c>
      <c r="D90" s="25">
        <f>IF(C90&lt;=Parametry!$C$6,L89,0)</f>
        <v/>
      </c>
      <c r="E90" s="26">
        <f>IF(OR(D90&lt;=0,C90&gt;Parametry!$C$6),0,IF(C90&lt;=Parametry!$C$9+1,Parametry!$C$8,Parametry!$C$10))</f>
        <v/>
      </c>
      <c r="F90" s="25">
        <f>IF(D90&lt;=0,0,ROUND(D90*E90/12,2))</f>
        <v/>
      </c>
      <c r="G90" s="25">
        <f>IF(OR(D90&lt;=0,C90&gt;Parametry!$C$6),0,MIN(IF(C90&lt;=Parametry!$C$9+1,Parametry!$C$7,Parametry!$C$14),ROUND(D90+F90,2)))</f>
        <v/>
      </c>
      <c r="H90" s="18" t="n"/>
      <c r="I90" s="19">
        <f>IF(OR(L90&lt;=0,C90&gt;=Parametry!$C$6),0,INDEX(G:G,ROW()+1))</f>
        <v/>
      </c>
      <c r="J90" s="27">
        <f>IF(D90&lt;=0,0,MIN(G90+N(H90),ROUND(D90+F90,2)))</f>
        <v/>
      </c>
      <c r="K90" s="25">
        <f>IF(J90&lt;=0,0,ROUND(MAX(0,J90-F90),2))</f>
        <v/>
      </c>
      <c r="L90" s="27">
        <f>IF(D90&lt;=0,0,ROUND(MAX(0,D90-K90),2))</f>
        <v/>
      </c>
      <c r="M90" s="28">
        <f>IF(L90&lt;=0,0,IFERROR(MATCH(TRUE,INDEX(L90:L327&lt;=0,0),0),238))</f>
        <v/>
      </c>
    </row>
    <row r="91" ht="18" customHeight="1">
      <c r="A91" s="13" t="n">
        <v>89</v>
      </c>
      <c r="B91" s="14">
        <f>IF(C91&lt;=Parametry!$C$6,DATE(Parametry!$C$12+INT((Parametry!$C$13+89-2)/12),MOD(Parametry!$C$13+89-2,12)+1,Parametry!$C$11),"")</f>
        <v/>
      </c>
      <c r="C91" s="15" t="n">
        <v>89</v>
      </c>
      <c r="D91" s="16">
        <f>IF(C91&lt;=Parametry!$C$6,L90,0)</f>
        <v/>
      </c>
      <c r="E91" s="17">
        <f>IF(OR(D91&lt;=0,C91&gt;Parametry!$C$6),0,IF(C91&lt;=Parametry!$C$9+1,Parametry!$C$8,Parametry!$C$10))</f>
        <v/>
      </c>
      <c r="F91" s="16">
        <f>IF(D91&lt;=0,0,ROUND(D91*E91/12,2))</f>
        <v/>
      </c>
      <c r="G91" s="16">
        <f>IF(OR(D91&lt;=0,C91&gt;Parametry!$C$6),0,MIN(IF(C91&lt;=Parametry!$C$9+1,Parametry!$C$7,Parametry!$C$14),ROUND(D91+F91,2)))</f>
        <v/>
      </c>
      <c r="H91" s="18" t="n"/>
      <c r="I91" s="19">
        <f>IF(OR(L91&lt;=0,C91&gt;=Parametry!$C$6),0,INDEX(G:G,ROW()+1))</f>
        <v/>
      </c>
      <c r="J91" s="20">
        <f>IF(D91&lt;=0,0,MIN(G91+N(H91),ROUND(D91+F91,2)))</f>
        <v/>
      </c>
      <c r="K91" s="16">
        <f>IF(J91&lt;=0,0,ROUND(MAX(0,J91-F91),2))</f>
        <v/>
      </c>
      <c r="L91" s="20">
        <f>IF(D91&lt;=0,0,ROUND(MAX(0,D91-K91),2))</f>
        <v/>
      </c>
      <c r="M91" s="21">
        <f>IF(L91&lt;=0,0,IFERROR(MATCH(TRUE,INDEX(L91:L327&lt;=0,0),0),237))</f>
        <v/>
      </c>
    </row>
    <row r="92" ht="18" customHeight="1">
      <c r="A92" s="22" t="n">
        <v>90</v>
      </c>
      <c r="B92" s="23">
        <f>IF(C92&lt;=Parametry!$C$6,DATE(Parametry!$C$12+INT((Parametry!$C$13+90-2)/12),MOD(Parametry!$C$13+90-2,12)+1,Parametry!$C$11),"")</f>
        <v/>
      </c>
      <c r="C92" s="24" t="n">
        <v>90</v>
      </c>
      <c r="D92" s="25">
        <f>IF(C92&lt;=Parametry!$C$6,L91,0)</f>
        <v/>
      </c>
      <c r="E92" s="26">
        <f>IF(OR(D92&lt;=0,C92&gt;Parametry!$C$6),0,IF(C92&lt;=Parametry!$C$9+1,Parametry!$C$8,Parametry!$C$10))</f>
        <v/>
      </c>
      <c r="F92" s="25">
        <f>IF(D92&lt;=0,0,ROUND(D92*E92/12,2))</f>
        <v/>
      </c>
      <c r="G92" s="25">
        <f>IF(OR(D92&lt;=0,C92&gt;Parametry!$C$6),0,MIN(IF(C92&lt;=Parametry!$C$9+1,Parametry!$C$7,Parametry!$C$14),ROUND(D92+F92,2)))</f>
        <v/>
      </c>
      <c r="H92" s="18" t="n"/>
      <c r="I92" s="19">
        <f>IF(OR(L92&lt;=0,C92&gt;=Parametry!$C$6),0,INDEX(G:G,ROW()+1))</f>
        <v/>
      </c>
      <c r="J92" s="27">
        <f>IF(D92&lt;=0,0,MIN(G92+N(H92),ROUND(D92+F92,2)))</f>
        <v/>
      </c>
      <c r="K92" s="25">
        <f>IF(J92&lt;=0,0,ROUND(MAX(0,J92-F92),2))</f>
        <v/>
      </c>
      <c r="L92" s="27">
        <f>IF(D92&lt;=0,0,ROUND(MAX(0,D92-K92),2))</f>
        <v/>
      </c>
      <c r="M92" s="28">
        <f>IF(L92&lt;=0,0,IFERROR(MATCH(TRUE,INDEX(L92:L327&lt;=0,0),0),236))</f>
        <v/>
      </c>
    </row>
    <row r="93" ht="18" customHeight="1">
      <c r="A93" s="13" t="n">
        <v>91</v>
      </c>
      <c r="B93" s="14">
        <f>IF(C93&lt;=Parametry!$C$6,DATE(Parametry!$C$12+INT((Parametry!$C$13+91-2)/12),MOD(Parametry!$C$13+91-2,12)+1,Parametry!$C$11),"")</f>
        <v/>
      </c>
      <c r="C93" s="15" t="n">
        <v>91</v>
      </c>
      <c r="D93" s="16">
        <f>IF(C93&lt;=Parametry!$C$6,L92,0)</f>
        <v/>
      </c>
      <c r="E93" s="17">
        <f>IF(OR(D93&lt;=0,C93&gt;Parametry!$C$6),0,IF(C93&lt;=Parametry!$C$9+1,Parametry!$C$8,Parametry!$C$10))</f>
        <v/>
      </c>
      <c r="F93" s="16">
        <f>IF(D93&lt;=0,0,ROUND(D93*E93/12,2))</f>
        <v/>
      </c>
      <c r="G93" s="16">
        <f>IF(OR(D93&lt;=0,C93&gt;Parametry!$C$6),0,MIN(IF(C93&lt;=Parametry!$C$9+1,Parametry!$C$7,Parametry!$C$14),ROUND(D93+F93,2)))</f>
        <v/>
      </c>
      <c r="H93" s="18" t="n"/>
      <c r="I93" s="19">
        <f>IF(OR(L93&lt;=0,C93&gt;=Parametry!$C$6),0,INDEX(G:G,ROW()+1))</f>
        <v/>
      </c>
      <c r="J93" s="20">
        <f>IF(D93&lt;=0,0,MIN(G93+N(H93),ROUND(D93+F93,2)))</f>
        <v/>
      </c>
      <c r="K93" s="16">
        <f>IF(J93&lt;=0,0,ROUND(MAX(0,J93-F93),2))</f>
        <v/>
      </c>
      <c r="L93" s="20">
        <f>IF(D93&lt;=0,0,ROUND(MAX(0,D93-K93),2))</f>
        <v/>
      </c>
      <c r="M93" s="21">
        <f>IF(L93&lt;=0,0,IFERROR(MATCH(TRUE,INDEX(L93:L327&lt;=0,0),0),235))</f>
        <v/>
      </c>
    </row>
    <row r="94" ht="18" customHeight="1">
      <c r="A94" s="22" t="n">
        <v>92</v>
      </c>
      <c r="B94" s="23">
        <f>IF(C94&lt;=Parametry!$C$6,DATE(Parametry!$C$12+INT((Parametry!$C$13+92-2)/12),MOD(Parametry!$C$13+92-2,12)+1,Parametry!$C$11),"")</f>
        <v/>
      </c>
      <c r="C94" s="24" t="n">
        <v>92</v>
      </c>
      <c r="D94" s="25">
        <f>IF(C94&lt;=Parametry!$C$6,L93,0)</f>
        <v/>
      </c>
      <c r="E94" s="26">
        <f>IF(OR(D94&lt;=0,C94&gt;Parametry!$C$6),0,IF(C94&lt;=Parametry!$C$9+1,Parametry!$C$8,Parametry!$C$10))</f>
        <v/>
      </c>
      <c r="F94" s="25">
        <f>IF(D94&lt;=0,0,ROUND(D94*E94/12,2))</f>
        <v/>
      </c>
      <c r="G94" s="25">
        <f>IF(OR(D94&lt;=0,C94&gt;Parametry!$C$6),0,MIN(IF(C94&lt;=Parametry!$C$9+1,Parametry!$C$7,Parametry!$C$14),ROUND(D94+F94,2)))</f>
        <v/>
      </c>
      <c r="H94" s="18" t="n"/>
      <c r="I94" s="19">
        <f>IF(OR(L94&lt;=0,C94&gt;=Parametry!$C$6),0,INDEX(G:G,ROW()+1))</f>
        <v/>
      </c>
      <c r="J94" s="27">
        <f>IF(D94&lt;=0,0,MIN(G94+N(H94),ROUND(D94+F94,2)))</f>
        <v/>
      </c>
      <c r="K94" s="25">
        <f>IF(J94&lt;=0,0,ROUND(MAX(0,J94-F94),2))</f>
        <v/>
      </c>
      <c r="L94" s="27">
        <f>IF(D94&lt;=0,0,ROUND(MAX(0,D94-K94),2))</f>
        <v/>
      </c>
      <c r="M94" s="28">
        <f>IF(L94&lt;=0,0,IFERROR(MATCH(TRUE,INDEX(L94:L327&lt;=0,0),0),234))</f>
        <v/>
      </c>
    </row>
    <row r="95" ht="18" customHeight="1">
      <c r="A95" s="13" t="n">
        <v>93</v>
      </c>
      <c r="B95" s="14">
        <f>IF(C95&lt;=Parametry!$C$6,DATE(Parametry!$C$12+INT((Parametry!$C$13+93-2)/12),MOD(Parametry!$C$13+93-2,12)+1,Parametry!$C$11),"")</f>
        <v/>
      </c>
      <c r="C95" s="15" t="n">
        <v>93</v>
      </c>
      <c r="D95" s="16">
        <f>IF(C95&lt;=Parametry!$C$6,L94,0)</f>
        <v/>
      </c>
      <c r="E95" s="17">
        <f>IF(OR(D95&lt;=0,C95&gt;Parametry!$C$6),0,IF(C95&lt;=Parametry!$C$9+1,Parametry!$C$8,Parametry!$C$10))</f>
        <v/>
      </c>
      <c r="F95" s="16">
        <f>IF(D95&lt;=0,0,ROUND(D95*E95/12,2))</f>
        <v/>
      </c>
      <c r="G95" s="16">
        <f>IF(OR(D95&lt;=0,C95&gt;Parametry!$C$6),0,MIN(IF(C95&lt;=Parametry!$C$9+1,Parametry!$C$7,Parametry!$C$14),ROUND(D95+F95,2)))</f>
        <v/>
      </c>
      <c r="H95" s="18" t="n"/>
      <c r="I95" s="19">
        <f>IF(OR(L95&lt;=0,C95&gt;=Parametry!$C$6),0,INDEX(G:G,ROW()+1))</f>
        <v/>
      </c>
      <c r="J95" s="20">
        <f>IF(D95&lt;=0,0,MIN(G95+N(H95),ROUND(D95+F95,2)))</f>
        <v/>
      </c>
      <c r="K95" s="16">
        <f>IF(J95&lt;=0,0,ROUND(MAX(0,J95-F95),2))</f>
        <v/>
      </c>
      <c r="L95" s="20">
        <f>IF(D95&lt;=0,0,ROUND(MAX(0,D95-K95),2))</f>
        <v/>
      </c>
      <c r="M95" s="21">
        <f>IF(L95&lt;=0,0,IFERROR(MATCH(TRUE,INDEX(L95:L327&lt;=0,0),0),233))</f>
        <v/>
      </c>
    </row>
    <row r="96" ht="18" customHeight="1">
      <c r="A96" s="22" t="n">
        <v>94</v>
      </c>
      <c r="B96" s="23">
        <f>IF(C96&lt;=Parametry!$C$6,DATE(Parametry!$C$12+INT((Parametry!$C$13+94-2)/12),MOD(Parametry!$C$13+94-2,12)+1,Parametry!$C$11),"")</f>
        <v/>
      </c>
      <c r="C96" s="24" t="n">
        <v>94</v>
      </c>
      <c r="D96" s="25">
        <f>IF(C96&lt;=Parametry!$C$6,L95,0)</f>
        <v/>
      </c>
      <c r="E96" s="26">
        <f>IF(OR(D96&lt;=0,C96&gt;Parametry!$C$6),0,IF(C96&lt;=Parametry!$C$9+1,Parametry!$C$8,Parametry!$C$10))</f>
        <v/>
      </c>
      <c r="F96" s="25">
        <f>IF(D96&lt;=0,0,ROUND(D96*E96/12,2))</f>
        <v/>
      </c>
      <c r="G96" s="25">
        <f>IF(OR(D96&lt;=0,C96&gt;Parametry!$C$6),0,MIN(IF(C96&lt;=Parametry!$C$9+1,Parametry!$C$7,Parametry!$C$14),ROUND(D96+F96,2)))</f>
        <v/>
      </c>
      <c r="H96" s="18" t="n"/>
      <c r="I96" s="19">
        <f>IF(OR(L96&lt;=0,C96&gt;=Parametry!$C$6),0,INDEX(G:G,ROW()+1))</f>
        <v/>
      </c>
      <c r="J96" s="27">
        <f>IF(D96&lt;=0,0,MIN(G96+N(H96),ROUND(D96+F96,2)))</f>
        <v/>
      </c>
      <c r="K96" s="25">
        <f>IF(J96&lt;=0,0,ROUND(MAX(0,J96-F96),2))</f>
        <v/>
      </c>
      <c r="L96" s="27">
        <f>IF(D96&lt;=0,0,ROUND(MAX(0,D96-K96),2))</f>
        <v/>
      </c>
      <c r="M96" s="28">
        <f>IF(L96&lt;=0,0,IFERROR(MATCH(TRUE,INDEX(L96:L327&lt;=0,0),0),232))</f>
        <v/>
      </c>
    </row>
    <row r="97" ht="18" customHeight="1">
      <c r="A97" s="13" t="n">
        <v>95</v>
      </c>
      <c r="B97" s="14">
        <f>IF(C97&lt;=Parametry!$C$6,DATE(Parametry!$C$12+INT((Parametry!$C$13+95-2)/12),MOD(Parametry!$C$13+95-2,12)+1,Parametry!$C$11),"")</f>
        <v/>
      </c>
      <c r="C97" s="15" t="n">
        <v>95</v>
      </c>
      <c r="D97" s="16">
        <f>IF(C97&lt;=Parametry!$C$6,L96,0)</f>
        <v/>
      </c>
      <c r="E97" s="17">
        <f>IF(OR(D97&lt;=0,C97&gt;Parametry!$C$6),0,IF(C97&lt;=Parametry!$C$9+1,Parametry!$C$8,Parametry!$C$10))</f>
        <v/>
      </c>
      <c r="F97" s="16">
        <f>IF(D97&lt;=0,0,ROUND(D97*E97/12,2))</f>
        <v/>
      </c>
      <c r="G97" s="16">
        <f>IF(OR(D97&lt;=0,C97&gt;Parametry!$C$6),0,MIN(IF(C97&lt;=Parametry!$C$9+1,Parametry!$C$7,Parametry!$C$14),ROUND(D97+F97,2)))</f>
        <v/>
      </c>
      <c r="H97" s="18" t="n"/>
      <c r="I97" s="19">
        <f>IF(OR(L97&lt;=0,C97&gt;=Parametry!$C$6),0,INDEX(G:G,ROW()+1))</f>
        <v/>
      </c>
      <c r="J97" s="20">
        <f>IF(D97&lt;=0,0,MIN(G97+N(H97),ROUND(D97+F97,2)))</f>
        <v/>
      </c>
      <c r="K97" s="16">
        <f>IF(J97&lt;=0,0,ROUND(MAX(0,J97-F97),2))</f>
        <v/>
      </c>
      <c r="L97" s="20">
        <f>IF(D97&lt;=0,0,ROUND(MAX(0,D97-K97),2))</f>
        <v/>
      </c>
      <c r="M97" s="21">
        <f>IF(L97&lt;=0,0,IFERROR(MATCH(TRUE,INDEX(L97:L327&lt;=0,0),0),231))</f>
        <v/>
      </c>
    </row>
    <row r="98" ht="18" customHeight="1">
      <c r="A98" s="22" t="n">
        <v>96</v>
      </c>
      <c r="B98" s="23">
        <f>IF(C98&lt;=Parametry!$C$6,DATE(Parametry!$C$12+INT((Parametry!$C$13+96-2)/12),MOD(Parametry!$C$13+96-2,12)+1,Parametry!$C$11),"")</f>
        <v/>
      </c>
      <c r="C98" s="24" t="n">
        <v>96</v>
      </c>
      <c r="D98" s="25">
        <f>IF(C98&lt;=Parametry!$C$6,L97,0)</f>
        <v/>
      </c>
      <c r="E98" s="26">
        <f>IF(OR(D98&lt;=0,C98&gt;Parametry!$C$6),0,IF(C98&lt;=Parametry!$C$9+1,Parametry!$C$8,Parametry!$C$10))</f>
        <v/>
      </c>
      <c r="F98" s="25">
        <f>IF(D98&lt;=0,0,ROUND(D98*E98/12,2))</f>
        <v/>
      </c>
      <c r="G98" s="25">
        <f>IF(OR(D98&lt;=0,C98&gt;Parametry!$C$6),0,MIN(IF(C98&lt;=Parametry!$C$9+1,Parametry!$C$7,Parametry!$C$14),ROUND(D98+F98,2)))</f>
        <v/>
      </c>
      <c r="H98" s="18" t="n"/>
      <c r="I98" s="19">
        <f>IF(OR(L98&lt;=0,C98&gt;=Parametry!$C$6),0,INDEX(G:G,ROW()+1))</f>
        <v/>
      </c>
      <c r="J98" s="27">
        <f>IF(D98&lt;=0,0,MIN(G98+N(H98),ROUND(D98+F98,2)))</f>
        <v/>
      </c>
      <c r="K98" s="25">
        <f>IF(J98&lt;=0,0,ROUND(MAX(0,J98-F98),2))</f>
        <v/>
      </c>
      <c r="L98" s="27">
        <f>IF(D98&lt;=0,0,ROUND(MAX(0,D98-K98),2))</f>
        <v/>
      </c>
      <c r="M98" s="28">
        <f>IF(L98&lt;=0,0,IFERROR(MATCH(TRUE,INDEX(L98:L327&lt;=0,0),0),230))</f>
        <v/>
      </c>
    </row>
    <row r="99" ht="18" customHeight="1">
      <c r="A99" s="13" t="n">
        <v>97</v>
      </c>
      <c r="B99" s="14">
        <f>IF(C99&lt;=Parametry!$C$6,DATE(Parametry!$C$12+INT((Parametry!$C$13+97-2)/12),MOD(Parametry!$C$13+97-2,12)+1,Parametry!$C$11),"")</f>
        <v/>
      </c>
      <c r="C99" s="15" t="n">
        <v>97</v>
      </c>
      <c r="D99" s="16">
        <f>IF(C99&lt;=Parametry!$C$6,L98,0)</f>
        <v/>
      </c>
      <c r="E99" s="17">
        <f>IF(OR(D99&lt;=0,C99&gt;Parametry!$C$6),0,IF(C99&lt;=Parametry!$C$9+1,Parametry!$C$8,Parametry!$C$10))</f>
        <v/>
      </c>
      <c r="F99" s="16">
        <f>IF(D99&lt;=0,0,ROUND(D99*E99/12,2))</f>
        <v/>
      </c>
      <c r="G99" s="16">
        <f>IF(OR(D99&lt;=0,C99&gt;Parametry!$C$6),0,MIN(IF(C99&lt;=Parametry!$C$9+1,Parametry!$C$7,Parametry!$C$14),ROUND(D99+F99,2)))</f>
        <v/>
      </c>
      <c r="H99" s="18" t="n"/>
      <c r="I99" s="19">
        <f>IF(OR(L99&lt;=0,C99&gt;=Parametry!$C$6),0,INDEX(G:G,ROW()+1))</f>
        <v/>
      </c>
      <c r="J99" s="20">
        <f>IF(D99&lt;=0,0,MIN(G99+N(H99),ROUND(D99+F99,2)))</f>
        <v/>
      </c>
      <c r="K99" s="16">
        <f>IF(J99&lt;=0,0,ROUND(MAX(0,J99-F99),2))</f>
        <v/>
      </c>
      <c r="L99" s="20">
        <f>IF(D99&lt;=0,0,ROUND(MAX(0,D99-K99),2))</f>
        <v/>
      </c>
      <c r="M99" s="21">
        <f>IF(L99&lt;=0,0,IFERROR(MATCH(TRUE,INDEX(L99:L327&lt;=0,0),0),229))</f>
        <v/>
      </c>
    </row>
    <row r="100" ht="18" customHeight="1">
      <c r="A100" s="22" t="n">
        <v>98</v>
      </c>
      <c r="B100" s="23">
        <f>IF(C100&lt;=Parametry!$C$6,DATE(Parametry!$C$12+INT((Parametry!$C$13+98-2)/12),MOD(Parametry!$C$13+98-2,12)+1,Parametry!$C$11),"")</f>
        <v/>
      </c>
      <c r="C100" s="24" t="n">
        <v>98</v>
      </c>
      <c r="D100" s="25">
        <f>IF(C100&lt;=Parametry!$C$6,L99,0)</f>
        <v/>
      </c>
      <c r="E100" s="26">
        <f>IF(OR(D100&lt;=0,C100&gt;Parametry!$C$6),0,IF(C100&lt;=Parametry!$C$9+1,Parametry!$C$8,Parametry!$C$10))</f>
        <v/>
      </c>
      <c r="F100" s="25">
        <f>IF(D100&lt;=0,0,ROUND(D100*E100/12,2))</f>
        <v/>
      </c>
      <c r="G100" s="25">
        <f>IF(OR(D100&lt;=0,C100&gt;Parametry!$C$6),0,MIN(IF(C100&lt;=Parametry!$C$9+1,Parametry!$C$7,Parametry!$C$14),ROUND(D100+F100,2)))</f>
        <v/>
      </c>
      <c r="H100" s="18" t="n"/>
      <c r="I100" s="19">
        <f>IF(OR(L100&lt;=0,C100&gt;=Parametry!$C$6),0,INDEX(G:G,ROW()+1))</f>
        <v/>
      </c>
      <c r="J100" s="27">
        <f>IF(D100&lt;=0,0,MIN(G100+N(H100),ROUND(D100+F100,2)))</f>
        <v/>
      </c>
      <c r="K100" s="25">
        <f>IF(J100&lt;=0,0,ROUND(MAX(0,J100-F100),2))</f>
        <v/>
      </c>
      <c r="L100" s="27">
        <f>IF(D100&lt;=0,0,ROUND(MAX(0,D100-K100),2))</f>
        <v/>
      </c>
      <c r="M100" s="28">
        <f>IF(L100&lt;=0,0,IFERROR(MATCH(TRUE,INDEX(L100:L327&lt;=0,0),0),228))</f>
        <v/>
      </c>
    </row>
    <row r="101" ht="18" customHeight="1">
      <c r="A101" s="13" t="n">
        <v>99</v>
      </c>
      <c r="B101" s="14">
        <f>IF(C101&lt;=Parametry!$C$6,DATE(Parametry!$C$12+INT((Parametry!$C$13+99-2)/12),MOD(Parametry!$C$13+99-2,12)+1,Parametry!$C$11),"")</f>
        <v/>
      </c>
      <c r="C101" s="15" t="n">
        <v>99</v>
      </c>
      <c r="D101" s="16">
        <f>IF(C101&lt;=Parametry!$C$6,L100,0)</f>
        <v/>
      </c>
      <c r="E101" s="17">
        <f>IF(OR(D101&lt;=0,C101&gt;Parametry!$C$6),0,IF(C101&lt;=Parametry!$C$9+1,Parametry!$C$8,Parametry!$C$10))</f>
        <v/>
      </c>
      <c r="F101" s="16">
        <f>IF(D101&lt;=0,0,ROUND(D101*E101/12,2))</f>
        <v/>
      </c>
      <c r="G101" s="16">
        <f>IF(OR(D101&lt;=0,C101&gt;Parametry!$C$6),0,MIN(IF(C101&lt;=Parametry!$C$9+1,Parametry!$C$7,Parametry!$C$14),ROUND(D101+F101,2)))</f>
        <v/>
      </c>
      <c r="H101" s="18" t="n"/>
      <c r="I101" s="19">
        <f>IF(OR(L101&lt;=0,C101&gt;=Parametry!$C$6),0,INDEX(G:G,ROW()+1))</f>
        <v/>
      </c>
      <c r="J101" s="20">
        <f>IF(D101&lt;=0,0,MIN(G101+N(H101),ROUND(D101+F101,2)))</f>
        <v/>
      </c>
      <c r="K101" s="16">
        <f>IF(J101&lt;=0,0,ROUND(MAX(0,J101-F101),2))</f>
        <v/>
      </c>
      <c r="L101" s="20">
        <f>IF(D101&lt;=0,0,ROUND(MAX(0,D101-K101),2))</f>
        <v/>
      </c>
      <c r="M101" s="21">
        <f>IF(L101&lt;=0,0,IFERROR(MATCH(TRUE,INDEX(L101:L327&lt;=0,0),0),227))</f>
        <v/>
      </c>
    </row>
    <row r="102" ht="18" customHeight="1">
      <c r="A102" s="22" t="n">
        <v>100</v>
      </c>
      <c r="B102" s="23">
        <f>IF(C102&lt;=Parametry!$C$6,DATE(Parametry!$C$12+INT((Parametry!$C$13+100-2)/12),MOD(Parametry!$C$13+100-2,12)+1,Parametry!$C$11),"")</f>
        <v/>
      </c>
      <c r="C102" s="24" t="n">
        <v>100</v>
      </c>
      <c r="D102" s="25">
        <f>IF(C102&lt;=Parametry!$C$6,L101,0)</f>
        <v/>
      </c>
      <c r="E102" s="26">
        <f>IF(OR(D102&lt;=0,C102&gt;Parametry!$C$6),0,IF(C102&lt;=Parametry!$C$9+1,Parametry!$C$8,Parametry!$C$10))</f>
        <v/>
      </c>
      <c r="F102" s="25">
        <f>IF(D102&lt;=0,0,ROUND(D102*E102/12,2))</f>
        <v/>
      </c>
      <c r="G102" s="25">
        <f>IF(OR(D102&lt;=0,C102&gt;Parametry!$C$6),0,MIN(IF(C102&lt;=Parametry!$C$9+1,Parametry!$C$7,Parametry!$C$14),ROUND(D102+F102,2)))</f>
        <v/>
      </c>
      <c r="H102" s="18" t="n"/>
      <c r="I102" s="19">
        <f>IF(OR(L102&lt;=0,C102&gt;=Parametry!$C$6),0,INDEX(G:G,ROW()+1))</f>
        <v/>
      </c>
      <c r="J102" s="27">
        <f>IF(D102&lt;=0,0,MIN(G102+N(H102),ROUND(D102+F102,2)))</f>
        <v/>
      </c>
      <c r="K102" s="25">
        <f>IF(J102&lt;=0,0,ROUND(MAX(0,J102-F102),2))</f>
        <v/>
      </c>
      <c r="L102" s="27">
        <f>IF(D102&lt;=0,0,ROUND(MAX(0,D102-K102),2))</f>
        <v/>
      </c>
      <c r="M102" s="28">
        <f>IF(L102&lt;=0,0,IFERROR(MATCH(TRUE,INDEX(L102:L327&lt;=0,0),0),226))</f>
        <v/>
      </c>
    </row>
    <row r="103" ht="18" customHeight="1">
      <c r="A103" s="13" t="n">
        <v>101</v>
      </c>
      <c r="B103" s="14">
        <f>IF(C103&lt;=Parametry!$C$6,DATE(Parametry!$C$12+INT((Parametry!$C$13+101-2)/12),MOD(Parametry!$C$13+101-2,12)+1,Parametry!$C$11),"")</f>
        <v/>
      </c>
      <c r="C103" s="15" t="n">
        <v>101</v>
      </c>
      <c r="D103" s="16">
        <f>IF(C103&lt;=Parametry!$C$6,L102,0)</f>
        <v/>
      </c>
      <c r="E103" s="17">
        <f>IF(OR(D103&lt;=0,C103&gt;Parametry!$C$6),0,IF(C103&lt;=Parametry!$C$9+1,Parametry!$C$8,Parametry!$C$10))</f>
        <v/>
      </c>
      <c r="F103" s="16">
        <f>IF(D103&lt;=0,0,ROUND(D103*E103/12,2))</f>
        <v/>
      </c>
      <c r="G103" s="16">
        <f>IF(OR(D103&lt;=0,C103&gt;Parametry!$C$6),0,MIN(IF(C103&lt;=Parametry!$C$9+1,Parametry!$C$7,Parametry!$C$14),ROUND(D103+F103,2)))</f>
        <v/>
      </c>
      <c r="H103" s="18" t="n"/>
      <c r="I103" s="19">
        <f>IF(OR(L103&lt;=0,C103&gt;=Parametry!$C$6),0,INDEX(G:G,ROW()+1))</f>
        <v/>
      </c>
      <c r="J103" s="20">
        <f>IF(D103&lt;=0,0,MIN(G103+N(H103),ROUND(D103+F103,2)))</f>
        <v/>
      </c>
      <c r="K103" s="16">
        <f>IF(J103&lt;=0,0,ROUND(MAX(0,J103-F103),2))</f>
        <v/>
      </c>
      <c r="L103" s="20">
        <f>IF(D103&lt;=0,0,ROUND(MAX(0,D103-K103),2))</f>
        <v/>
      </c>
      <c r="M103" s="21">
        <f>IF(L103&lt;=0,0,IFERROR(MATCH(TRUE,INDEX(L103:L327&lt;=0,0),0),225))</f>
        <v/>
      </c>
    </row>
    <row r="104" ht="18" customHeight="1">
      <c r="A104" s="22" t="n">
        <v>102</v>
      </c>
      <c r="B104" s="23">
        <f>IF(C104&lt;=Parametry!$C$6,DATE(Parametry!$C$12+INT((Parametry!$C$13+102-2)/12),MOD(Parametry!$C$13+102-2,12)+1,Parametry!$C$11),"")</f>
        <v/>
      </c>
      <c r="C104" s="24" t="n">
        <v>102</v>
      </c>
      <c r="D104" s="25">
        <f>IF(C104&lt;=Parametry!$C$6,L103,0)</f>
        <v/>
      </c>
      <c r="E104" s="26">
        <f>IF(OR(D104&lt;=0,C104&gt;Parametry!$C$6),0,IF(C104&lt;=Parametry!$C$9+1,Parametry!$C$8,Parametry!$C$10))</f>
        <v/>
      </c>
      <c r="F104" s="25">
        <f>IF(D104&lt;=0,0,ROUND(D104*E104/12,2))</f>
        <v/>
      </c>
      <c r="G104" s="25">
        <f>IF(OR(D104&lt;=0,C104&gt;Parametry!$C$6),0,MIN(IF(C104&lt;=Parametry!$C$9+1,Parametry!$C$7,Parametry!$C$14),ROUND(D104+F104,2)))</f>
        <v/>
      </c>
      <c r="H104" s="18" t="n"/>
      <c r="I104" s="19">
        <f>IF(OR(L104&lt;=0,C104&gt;=Parametry!$C$6),0,INDEX(G:G,ROW()+1))</f>
        <v/>
      </c>
      <c r="J104" s="27">
        <f>IF(D104&lt;=0,0,MIN(G104+N(H104),ROUND(D104+F104,2)))</f>
        <v/>
      </c>
      <c r="K104" s="25">
        <f>IF(J104&lt;=0,0,ROUND(MAX(0,J104-F104),2))</f>
        <v/>
      </c>
      <c r="L104" s="27">
        <f>IF(D104&lt;=0,0,ROUND(MAX(0,D104-K104),2))</f>
        <v/>
      </c>
      <c r="M104" s="28">
        <f>IF(L104&lt;=0,0,IFERROR(MATCH(TRUE,INDEX(L104:L327&lt;=0,0),0),224))</f>
        <v/>
      </c>
    </row>
    <row r="105" ht="18" customHeight="1">
      <c r="A105" s="13" t="n">
        <v>103</v>
      </c>
      <c r="B105" s="14">
        <f>IF(C105&lt;=Parametry!$C$6,DATE(Parametry!$C$12+INT((Parametry!$C$13+103-2)/12),MOD(Parametry!$C$13+103-2,12)+1,Parametry!$C$11),"")</f>
        <v/>
      </c>
      <c r="C105" s="15" t="n">
        <v>103</v>
      </c>
      <c r="D105" s="16">
        <f>IF(C105&lt;=Parametry!$C$6,L104,0)</f>
        <v/>
      </c>
      <c r="E105" s="17">
        <f>IF(OR(D105&lt;=0,C105&gt;Parametry!$C$6),0,IF(C105&lt;=Parametry!$C$9+1,Parametry!$C$8,Parametry!$C$10))</f>
        <v/>
      </c>
      <c r="F105" s="16">
        <f>IF(D105&lt;=0,0,ROUND(D105*E105/12,2))</f>
        <v/>
      </c>
      <c r="G105" s="16">
        <f>IF(OR(D105&lt;=0,C105&gt;Parametry!$C$6),0,MIN(IF(C105&lt;=Parametry!$C$9+1,Parametry!$C$7,Parametry!$C$14),ROUND(D105+F105,2)))</f>
        <v/>
      </c>
      <c r="H105" s="18" t="n"/>
      <c r="I105" s="19">
        <f>IF(OR(L105&lt;=0,C105&gt;=Parametry!$C$6),0,INDEX(G:G,ROW()+1))</f>
        <v/>
      </c>
      <c r="J105" s="20">
        <f>IF(D105&lt;=0,0,MIN(G105+N(H105),ROUND(D105+F105,2)))</f>
        <v/>
      </c>
      <c r="K105" s="16">
        <f>IF(J105&lt;=0,0,ROUND(MAX(0,J105-F105),2))</f>
        <v/>
      </c>
      <c r="L105" s="20">
        <f>IF(D105&lt;=0,0,ROUND(MAX(0,D105-K105),2))</f>
        <v/>
      </c>
      <c r="M105" s="21">
        <f>IF(L105&lt;=0,0,IFERROR(MATCH(TRUE,INDEX(L105:L327&lt;=0,0),0),223))</f>
        <v/>
      </c>
    </row>
    <row r="106" ht="18" customHeight="1">
      <c r="A106" s="22" t="n">
        <v>104</v>
      </c>
      <c r="B106" s="23">
        <f>IF(C106&lt;=Parametry!$C$6,DATE(Parametry!$C$12+INT((Parametry!$C$13+104-2)/12),MOD(Parametry!$C$13+104-2,12)+1,Parametry!$C$11),"")</f>
        <v/>
      </c>
      <c r="C106" s="24" t="n">
        <v>104</v>
      </c>
      <c r="D106" s="25">
        <f>IF(C106&lt;=Parametry!$C$6,L105,0)</f>
        <v/>
      </c>
      <c r="E106" s="26">
        <f>IF(OR(D106&lt;=0,C106&gt;Parametry!$C$6),0,IF(C106&lt;=Parametry!$C$9+1,Parametry!$C$8,Parametry!$C$10))</f>
        <v/>
      </c>
      <c r="F106" s="25">
        <f>IF(D106&lt;=0,0,ROUND(D106*E106/12,2))</f>
        <v/>
      </c>
      <c r="G106" s="25">
        <f>IF(OR(D106&lt;=0,C106&gt;Parametry!$C$6),0,MIN(IF(C106&lt;=Parametry!$C$9+1,Parametry!$C$7,Parametry!$C$14),ROUND(D106+F106,2)))</f>
        <v/>
      </c>
      <c r="H106" s="18" t="n"/>
      <c r="I106" s="19">
        <f>IF(OR(L106&lt;=0,C106&gt;=Parametry!$C$6),0,INDEX(G:G,ROW()+1))</f>
        <v/>
      </c>
      <c r="J106" s="27">
        <f>IF(D106&lt;=0,0,MIN(G106+N(H106),ROUND(D106+F106,2)))</f>
        <v/>
      </c>
      <c r="K106" s="25">
        <f>IF(J106&lt;=0,0,ROUND(MAX(0,J106-F106),2))</f>
        <v/>
      </c>
      <c r="L106" s="27">
        <f>IF(D106&lt;=0,0,ROUND(MAX(0,D106-K106),2))</f>
        <v/>
      </c>
      <c r="M106" s="28">
        <f>IF(L106&lt;=0,0,IFERROR(MATCH(TRUE,INDEX(L106:L327&lt;=0,0),0),222))</f>
        <v/>
      </c>
    </row>
    <row r="107" ht="18" customHeight="1">
      <c r="A107" s="13" t="n">
        <v>105</v>
      </c>
      <c r="B107" s="14">
        <f>IF(C107&lt;=Parametry!$C$6,DATE(Parametry!$C$12+INT((Parametry!$C$13+105-2)/12),MOD(Parametry!$C$13+105-2,12)+1,Parametry!$C$11),"")</f>
        <v/>
      </c>
      <c r="C107" s="15" t="n">
        <v>105</v>
      </c>
      <c r="D107" s="16">
        <f>IF(C107&lt;=Parametry!$C$6,L106,0)</f>
        <v/>
      </c>
      <c r="E107" s="17">
        <f>IF(OR(D107&lt;=0,C107&gt;Parametry!$C$6),0,IF(C107&lt;=Parametry!$C$9+1,Parametry!$C$8,Parametry!$C$10))</f>
        <v/>
      </c>
      <c r="F107" s="16">
        <f>IF(D107&lt;=0,0,ROUND(D107*E107/12,2))</f>
        <v/>
      </c>
      <c r="G107" s="16">
        <f>IF(OR(D107&lt;=0,C107&gt;Parametry!$C$6),0,MIN(IF(C107&lt;=Parametry!$C$9+1,Parametry!$C$7,Parametry!$C$14),ROUND(D107+F107,2)))</f>
        <v/>
      </c>
      <c r="H107" s="18" t="n"/>
      <c r="I107" s="19">
        <f>IF(OR(L107&lt;=0,C107&gt;=Parametry!$C$6),0,INDEX(G:G,ROW()+1))</f>
        <v/>
      </c>
      <c r="J107" s="20">
        <f>IF(D107&lt;=0,0,MIN(G107+N(H107),ROUND(D107+F107,2)))</f>
        <v/>
      </c>
      <c r="K107" s="16">
        <f>IF(J107&lt;=0,0,ROUND(MAX(0,J107-F107),2))</f>
        <v/>
      </c>
      <c r="L107" s="20">
        <f>IF(D107&lt;=0,0,ROUND(MAX(0,D107-K107),2))</f>
        <v/>
      </c>
      <c r="M107" s="21">
        <f>IF(L107&lt;=0,0,IFERROR(MATCH(TRUE,INDEX(L107:L327&lt;=0,0),0),221))</f>
        <v/>
      </c>
    </row>
    <row r="108" ht="18" customHeight="1">
      <c r="A108" s="22" t="n">
        <v>106</v>
      </c>
      <c r="B108" s="23">
        <f>IF(C108&lt;=Parametry!$C$6,DATE(Parametry!$C$12+INT((Parametry!$C$13+106-2)/12),MOD(Parametry!$C$13+106-2,12)+1,Parametry!$C$11),"")</f>
        <v/>
      </c>
      <c r="C108" s="24" t="n">
        <v>106</v>
      </c>
      <c r="D108" s="25">
        <f>IF(C108&lt;=Parametry!$C$6,L107,0)</f>
        <v/>
      </c>
      <c r="E108" s="26">
        <f>IF(OR(D108&lt;=0,C108&gt;Parametry!$C$6),0,IF(C108&lt;=Parametry!$C$9+1,Parametry!$C$8,Parametry!$C$10))</f>
        <v/>
      </c>
      <c r="F108" s="25">
        <f>IF(D108&lt;=0,0,ROUND(D108*E108/12,2))</f>
        <v/>
      </c>
      <c r="G108" s="25">
        <f>IF(OR(D108&lt;=0,C108&gt;Parametry!$C$6),0,MIN(IF(C108&lt;=Parametry!$C$9+1,Parametry!$C$7,Parametry!$C$14),ROUND(D108+F108,2)))</f>
        <v/>
      </c>
      <c r="H108" s="18" t="n"/>
      <c r="I108" s="19">
        <f>IF(OR(L108&lt;=0,C108&gt;=Parametry!$C$6),0,INDEX(G:G,ROW()+1))</f>
        <v/>
      </c>
      <c r="J108" s="27">
        <f>IF(D108&lt;=0,0,MIN(G108+N(H108),ROUND(D108+F108,2)))</f>
        <v/>
      </c>
      <c r="K108" s="25">
        <f>IF(J108&lt;=0,0,ROUND(MAX(0,J108-F108),2))</f>
        <v/>
      </c>
      <c r="L108" s="27">
        <f>IF(D108&lt;=0,0,ROUND(MAX(0,D108-K108),2))</f>
        <v/>
      </c>
      <c r="M108" s="28">
        <f>IF(L108&lt;=0,0,IFERROR(MATCH(TRUE,INDEX(L108:L327&lt;=0,0),0),220))</f>
        <v/>
      </c>
    </row>
    <row r="109" ht="18" customHeight="1">
      <c r="A109" s="13" t="n">
        <v>107</v>
      </c>
      <c r="B109" s="14">
        <f>IF(C109&lt;=Parametry!$C$6,DATE(Parametry!$C$12+INT((Parametry!$C$13+107-2)/12),MOD(Parametry!$C$13+107-2,12)+1,Parametry!$C$11),"")</f>
        <v/>
      </c>
      <c r="C109" s="15" t="n">
        <v>107</v>
      </c>
      <c r="D109" s="16">
        <f>IF(C109&lt;=Parametry!$C$6,L108,0)</f>
        <v/>
      </c>
      <c r="E109" s="17">
        <f>IF(OR(D109&lt;=0,C109&gt;Parametry!$C$6),0,IF(C109&lt;=Parametry!$C$9+1,Parametry!$C$8,Parametry!$C$10))</f>
        <v/>
      </c>
      <c r="F109" s="16">
        <f>IF(D109&lt;=0,0,ROUND(D109*E109/12,2))</f>
        <v/>
      </c>
      <c r="G109" s="16">
        <f>IF(OR(D109&lt;=0,C109&gt;Parametry!$C$6),0,MIN(IF(C109&lt;=Parametry!$C$9+1,Parametry!$C$7,Parametry!$C$14),ROUND(D109+F109,2)))</f>
        <v/>
      </c>
      <c r="H109" s="18" t="n"/>
      <c r="I109" s="19">
        <f>IF(OR(L109&lt;=0,C109&gt;=Parametry!$C$6),0,INDEX(G:G,ROW()+1))</f>
        <v/>
      </c>
      <c r="J109" s="20">
        <f>IF(D109&lt;=0,0,MIN(G109+N(H109),ROUND(D109+F109,2)))</f>
        <v/>
      </c>
      <c r="K109" s="16">
        <f>IF(J109&lt;=0,0,ROUND(MAX(0,J109-F109),2))</f>
        <v/>
      </c>
      <c r="L109" s="20">
        <f>IF(D109&lt;=0,0,ROUND(MAX(0,D109-K109),2))</f>
        <v/>
      </c>
      <c r="M109" s="21">
        <f>IF(L109&lt;=0,0,IFERROR(MATCH(TRUE,INDEX(L109:L327&lt;=0,0),0),219))</f>
        <v/>
      </c>
    </row>
    <row r="110" ht="18" customHeight="1">
      <c r="A110" s="22" t="n">
        <v>108</v>
      </c>
      <c r="B110" s="23">
        <f>IF(C110&lt;=Parametry!$C$6,DATE(Parametry!$C$12+INT((Parametry!$C$13+108-2)/12),MOD(Parametry!$C$13+108-2,12)+1,Parametry!$C$11),"")</f>
        <v/>
      </c>
      <c r="C110" s="24" t="n">
        <v>108</v>
      </c>
      <c r="D110" s="25">
        <f>IF(C110&lt;=Parametry!$C$6,L109,0)</f>
        <v/>
      </c>
      <c r="E110" s="26">
        <f>IF(OR(D110&lt;=0,C110&gt;Parametry!$C$6),0,IF(C110&lt;=Parametry!$C$9+1,Parametry!$C$8,Parametry!$C$10))</f>
        <v/>
      </c>
      <c r="F110" s="25">
        <f>IF(D110&lt;=0,0,ROUND(D110*E110/12,2))</f>
        <v/>
      </c>
      <c r="G110" s="25">
        <f>IF(OR(D110&lt;=0,C110&gt;Parametry!$C$6),0,MIN(IF(C110&lt;=Parametry!$C$9+1,Parametry!$C$7,Parametry!$C$14),ROUND(D110+F110,2)))</f>
        <v/>
      </c>
      <c r="H110" s="18" t="n"/>
      <c r="I110" s="19">
        <f>IF(OR(L110&lt;=0,C110&gt;=Parametry!$C$6),0,INDEX(G:G,ROW()+1))</f>
        <v/>
      </c>
      <c r="J110" s="27">
        <f>IF(D110&lt;=0,0,MIN(G110+N(H110),ROUND(D110+F110,2)))</f>
        <v/>
      </c>
      <c r="K110" s="25">
        <f>IF(J110&lt;=0,0,ROUND(MAX(0,J110-F110),2))</f>
        <v/>
      </c>
      <c r="L110" s="27">
        <f>IF(D110&lt;=0,0,ROUND(MAX(0,D110-K110),2))</f>
        <v/>
      </c>
      <c r="M110" s="28">
        <f>IF(L110&lt;=0,0,IFERROR(MATCH(TRUE,INDEX(L110:L327&lt;=0,0),0),218))</f>
        <v/>
      </c>
    </row>
    <row r="111" ht="18" customHeight="1">
      <c r="A111" s="13" t="n">
        <v>109</v>
      </c>
      <c r="B111" s="14">
        <f>IF(C111&lt;=Parametry!$C$6,DATE(Parametry!$C$12+INT((Parametry!$C$13+109-2)/12),MOD(Parametry!$C$13+109-2,12)+1,Parametry!$C$11),"")</f>
        <v/>
      </c>
      <c r="C111" s="15" t="n">
        <v>109</v>
      </c>
      <c r="D111" s="16">
        <f>IF(C111&lt;=Parametry!$C$6,L110,0)</f>
        <v/>
      </c>
      <c r="E111" s="17">
        <f>IF(OR(D111&lt;=0,C111&gt;Parametry!$C$6),0,IF(C111&lt;=Parametry!$C$9+1,Parametry!$C$8,Parametry!$C$10))</f>
        <v/>
      </c>
      <c r="F111" s="16">
        <f>IF(D111&lt;=0,0,ROUND(D111*E111/12,2))</f>
        <v/>
      </c>
      <c r="G111" s="16">
        <f>IF(OR(D111&lt;=0,C111&gt;Parametry!$C$6),0,MIN(IF(C111&lt;=Parametry!$C$9+1,Parametry!$C$7,Parametry!$C$14),ROUND(D111+F111,2)))</f>
        <v/>
      </c>
      <c r="H111" s="18" t="n"/>
      <c r="I111" s="19">
        <f>IF(OR(L111&lt;=0,C111&gt;=Parametry!$C$6),0,INDEX(G:G,ROW()+1))</f>
        <v/>
      </c>
      <c r="J111" s="20">
        <f>IF(D111&lt;=0,0,MIN(G111+N(H111),ROUND(D111+F111,2)))</f>
        <v/>
      </c>
      <c r="K111" s="16">
        <f>IF(J111&lt;=0,0,ROUND(MAX(0,J111-F111),2))</f>
        <v/>
      </c>
      <c r="L111" s="20">
        <f>IF(D111&lt;=0,0,ROUND(MAX(0,D111-K111),2))</f>
        <v/>
      </c>
      <c r="M111" s="21">
        <f>IF(L111&lt;=0,0,IFERROR(MATCH(TRUE,INDEX(L111:L327&lt;=0,0),0),217))</f>
        <v/>
      </c>
    </row>
    <row r="112" ht="18" customHeight="1">
      <c r="A112" s="22" t="n">
        <v>110</v>
      </c>
      <c r="B112" s="23">
        <f>IF(C112&lt;=Parametry!$C$6,DATE(Parametry!$C$12+INT((Parametry!$C$13+110-2)/12),MOD(Parametry!$C$13+110-2,12)+1,Parametry!$C$11),"")</f>
        <v/>
      </c>
      <c r="C112" s="24" t="n">
        <v>110</v>
      </c>
      <c r="D112" s="25">
        <f>IF(C112&lt;=Parametry!$C$6,L111,0)</f>
        <v/>
      </c>
      <c r="E112" s="26">
        <f>IF(OR(D112&lt;=0,C112&gt;Parametry!$C$6),0,IF(C112&lt;=Parametry!$C$9+1,Parametry!$C$8,Parametry!$C$10))</f>
        <v/>
      </c>
      <c r="F112" s="25">
        <f>IF(D112&lt;=0,0,ROUND(D112*E112/12,2))</f>
        <v/>
      </c>
      <c r="G112" s="25">
        <f>IF(OR(D112&lt;=0,C112&gt;Parametry!$C$6),0,MIN(IF(C112&lt;=Parametry!$C$9+1,Parametry!$C$7,Parametry!$C$14),ROUND(D112+F112,2)))</f>
        <v/>
      </c>
      <c r="H112" s="18" t="n"/>
      <c r="I112" s="19">
        <f>IF(OR(L112&lt;=0,C112&gt;=Parametry!$C$6),0,INDEX(G:G,ROW()+1))</f>
        <v/>
      </c>
      <c r="J112" s="27">
        <f>IF(D112&lt;=0,0,MIN(G112+N(H112),ROUND(D112+F112,2)))</f>
        <v/>
      </c>
      <c r="K112" s="25">
        <f>IF(J112&lt;=0,0,ROUND(MAX(0,J112-F112),2))</f>
        <v/>
      </c>
      <c r="L112" s="27">
        <f>IF(D112&lt;=0,0,ROUND(MAX(0,D112-K112),2))</f>
        <v/>
      </c>
      <c r="M112" s="28">
        <f>IF(L112&lt;=0,0,IFERROR(MATCH(TRUE,INDEX(L112:L327&lt;=0,0),0),216))</f>
        <v/>
      </c>
    </row>
    <row r="113" ht="18" customHeight="1">
      <c r="A113" s="13" t="n">
        <v>111</v>
      </c>
      <c r="B113" s="14">
        <f>IF(C113&lt;=Parametry!$C$6,DATE(Parametry!$C$12+INT((Parametry!$C$13+111-2)/12),MOD(Parametry!$C$13+111-2,12)+1,Parametry!$C$11),"")</f>
        <v/>
      </c>
      <c r="C113" s="15" t="n">
        <v>111</v>
      </c>
      <c r="D113" s="16">
        <f>IF(C113&lt;=Parametry!$C$6,L112,0)</f>
        <v/>
      </c>
      <c r="E113" s="17">
        <f>IF(OR(D113&lt;=0,C113&gt;Parametry!$C$6),0,IF(C113&lt;=Parametry!$C$9+1,Parametry!$C$8,Parametry!$C$10))</f>
        <v/>
      </c>
      <c r="F113" s="16">
        <f>IF(D113&lt;=0,0,ROUND(D113*E113/12,2))</f>
        <v/>
      </c>
      <c r="G113" s="16">
        <f>IF(OR(D113&lt;=0,C113&gt;Parametry!$C$6),0,MIN(IF(C113&lt;=Parametry!$C$9+1,Parametry!$C$7,Parametry!$C$14),ROUND(D113+F113,2)))</f>
        <v/>
      </c>
      <c r="H113" s="18" t="n"/>
      <c r="I113" s="19">
        <f>IF(OR(L113&lt;=0,C113&gt;=Parametry!$C$6),0,INDEX(G:G,ROW()+1))</f>
        <v/>
      </c>
      <c r="J113" s="20">
        <f>IF(D113&lt;=0,0,MIN(G113+N(H113),ROUND(D113+F113,2)))</f>
        <v/>
      </c>
      <c r="K113" s="16">
        <f>IF(J113&lt;=0,0,ROUND(MAX(0,J113-F113),2))</f>
        <v/>
      </c>
      <c r="L113" s="20">
        <f>IF(D113&lt;=0,0,ROUND(MAX(0,D113-K113),2))</f>
        <v/>
      </c>
      <c r="M113" s="21">
        <f>IF(L113&lt;=0,0,IFERROR(MATCH(TRUE,INDEX(L113:L327&lt;=0,0),0),215))</f>
        <v/>
      </c>
    </row>
    <row r="114" ht="18" customHeight="1">
      <c r="A114" s="22" t="n">
        <v>112</v>
      </c>
      <c r="B114" s="23">
        <f>IF(C114&lt;=Parametry!$C$6,DATE(Parametry!$C$12+INT((Parametry!$C$13+112-2)/12),MOD(Parametry!$C$13+112-2,12)+1,Parametry!$C$11),"")</f>
        <v/>
      </c>
      <c r="C114" s="24" t="n">
        <v>112</v>
      </c>
      <c r="D114" s="25">
        <f>IF(C114&lt;=Parametry!$C$6,L113,0)</f>
        <v/>
      </c>
      <c r="E114" s="26">
        <f>IF(OR(D114&lt;=0,C114&gt;Parametry!$C$6),0,IF(C114&lt;=Parametry!$C$9+1,Parametry!$C$8,Parametry!$C$10))</f>
        <v/>
      </c>
      <c r="F114" s="25">
        <f>IF(D114&lt;=0,0,ROUND(D114*E114/12,2))</f>
        <v/>
      </c>
      <c r="G114" s="25">
        <f>IF(OR(D114&lt;=0,C114&gt;Parametry!$C$6),0,MIN(IF(C114&lt;=Parametry!$C$9+1,Parametry!$C$7,Parametry!$C$14),ROUND(D114+F114,2)))</f>
        <v/>
      </c>
      <c r="H114" s="18" t="n"/>
      <c r="I114" s="19">
        <f>IF(OR(L114&lt;=0,C114&gt;=Parametry!$C$6),0,INDEX(G:G,ROW()+1))</f>
        <v/>
      </c>
      <c r="J114" s="27">
        <f>IF(D114&lt;=0,0,MIN(G114+N(H114),ROUND(D114+F114,2)))</f>
        <v/>
      </c>
      <c r="K114" s="25">
        <f>IF(J114&lt;=0,0,ROUND(MAX(0,J114-F114),2))</f>
        <v/>
      </c>
      <c r="L114" s="27">
        <f>IF(D114&lt;=0,0,ROUND(MAX(0,D114-K114),2))</f>
        <v/>
      </c>
      <c r="M114" s="28">
        <f>IF(L114&lt;=0,0,IFERROR(MATCH(TRUE,INDEX(L114:L327&lt;=0,0),0),214))</f>
        <v/>
      </c>
    </row>
    <row r="115" ht="18" customHeight="1">
      <c r="A115" s="13" t="n">
        <v>113</v>
      </c>
      <c r="B115" s="14">
        <f>IF(C115&lt;=Parametry!$C$6,DATE(Parametry!$C$12+INT((Parametry!$C$13+113-2)/12),MOD(Parametry!$C$13+113-2,12)+1,Parametry!$C$11),"")</f>
        <v/>
      </c>
      <c r="C115" s="15" t="n">
        <v>113</v>
      </c>
      <c r="D115" s="16">
        <f>IF(C115&lt;=Parametry!$C$6,L114,0)</f>
        <v/>
      </c>
      <c r="E115" s="17">
        <f>IF(OR(D115&lt;=0,C115&gt;Parametry!$C$6),0,IF(C115&lt;=Parametry!$C$9+1,Parametry!$C$8,Parametry!$C$10))</f>
        <v/>
      </c>
      <c r="F115" s="16">
        <f>IF(D115&lt;=0,0,ROUND(D115*E115/12,2))</f>
        <v/>
      </c>
      <c r="G115" s="16">
        <f>IF(OR(D115&lt;=0,C115&gt;Parametry!$C$6),0,MIN(IF(C115&lt;=Parametry!$C$9+1,Parametry!$C$7,Parametry!$C$14),ROUND(D115+F115,2)))</f>
        <v/>
      </c>
      <c r="H115" s="18" t="n"/>
      <c r="I115" s="19">
        <f>IF(OR(L115&lt;=0,C115&gt;=Parametry!$C$6),0,INDEX(G:G,ROW()+1))</f>
        <v/>
      </c>
      <c r="J115" s="20">
        <f>IF(D115&lt;=0,0,MIN(G115+N(H115),ROUND(D115+F115,2)))</f>
        <v/>
      </c>
      <c r="K115" s="16">
        <f>IF(J115&lt;=0,0,ROUND(MAX(0,J115-F115),2))</f>
        <v/>
      </c>
      <c r="L115" s="20">
        <f>IF(D115&lt;=0,0,ROUND(MAX(0,D115-K115),2))</f>
        <v/>
      </c>
      <c r="M115" s="21">
        <f>IF(L115&lt;=0,0,IFERROR(MATCH(TRUE,INDEX(L115:L327&lt;=0,0),0),213))</f>
        <v/>
      </c>
    </row>
    <row r="116" ht="18" customHeight="1">
      <c r="A116" s="22" t="n">
        <v>114</v>
      </c>
      <c r="B116" s="23">
        <f>IF(C116&lt;=Parametry!$C$6,DATE(Parametry!$C$12+INT((Parametry!$C$13+114-2)/12),MOD(Parametry!$C$13+114-2,12)+1,Parametry!$C$11),"")</f>
        <v/>
      </c>
      <c r="C116" s="24" t="n">
        <v>114</v>
      </c>
      <c r="D116" s="25">
        <f>IF(C116&lt;=Parametry!$C$6,L115,0)</f>
        <v/>
      </c>
      <c r="E116" s="26">
        <f>IF(OR(D116&lt;=0,C116&gt;Parametry!$C$6),0,IF(C116&lt;=Parametry!$C$9+1,Parametry!$C$8,Parametry!$C$10))</f>
        <v/>
      </c>
      <c r="F116" s="25">
        <f>IF(D116&lt;=0,0,ROUND(D116*E116/12,2))</f>
        <v/>
      </c>
      <c r="G116" s="25">
        <f>IF(OR(D116&lt;=0,C116&gt;Parametry!$C$6),0,MIN(IF(C116&lt;=Parametry!$C$9+1,Parametry!$C$7,Parametry!$C$14),ROUND(D116+F116,2)))</f>
        <v/>
      </c>
      <c r="H116" s="18" t="n"/>
      <c r="I116" s="19">
        <f>IF(OR(L116&lt;=0,C116&gt;=Parametry!$C$6),0,INDEX(G:G,ROW()+1))</f>
        <v/>
      </c>
      <c r="J116" s="27">
        <f>IF(D116&lt;=0,0,MIN(G116+N(H116),ROUND(D116+F116,2)))</f>
        <v/>
      </c>
      <c r="K116" s="25">
        <f>IF(J116&lt;=0,0,ROUND(MAX(0,J116-F116),2))</f>
        <v/>
      </c>
      <c r="L116" s="27">
        <f>IF(D116&lt;=0,0,ROUND(MAX(0,D116-K116),2))</f>
        <v/>
      </c>
      <c r="M116" s="28">
        <f>IF(L116&lt;=0,0,IFERROR(MATCH(TRUE,INDEX(L116:L327&lt;=0,0),0),212))</f>
        <v/>
      </c>
    </row>
    <row r="117" ht="18" customHeight="1">
      <c r="A117" s="13" t="n">
        <v>115</v>
      </c>
      <c r="B117" s="14">
        <f>IF(C117&lt;=Parametry!$C$6,DATE(Parametry!$C$12+INT((Parametry!$C$13+115-2)/12),MOD(Parametry!$C$13+115-2,12)+1,Parametry!$C$11),"")</f>
        <v/>
      </c>
      <c r="C117" s="15" t="n">
        <v>115</v>
      </c>
      <c r="D117" s="16">
        <f>IF(C117&lt;=Parametry!$C$6,L116,0)</f>
        <v/>
      </c>
      <c r="E117" s="17">
        <f>IF(OR(D117&lt;=0,C117&gt;Parametry!$C$6),0,IF(C117&lt;=Parametry!$C$9+1,Parametry!$C$8,Parametry!$C$10))</f>
        <v/>
      </c>
      <c r="F117" s="16">
        <f>IF(D117&lt;=0,0,ROUND(D117*E117/12,2))</f>
        <v/>
      </c>
      <c r="G117" s="16">
        <f>IF(OR(D117&lt;=0,C117&gt;Parametry!$C$6),0,MIN(IF(C117&lt;=Parametry!$C$9+1,Parametry!$C$7,Parametry!$C$14),ROUND(D117+F117,2)))</f>
        <v/>
      </c>
      <c r="H117" s="18" t="n"/>
      <c r="I117" s="19">
        <f>IF(OR(L117&lt;=0,C117&gt;=Parametry!$C$6),0,INDEX(G:G,ROW()+1))</f>
        <v/>
      </c>
      <c r="J117" s="20">
        <f>IF(D117&lt;=0,0,MIN(G117+N(H117),ROUND(D117+F117,2)))</f>
        <v/>
      </c>
      <c r="K117" s="16">
        <f>IF(J117&lt;=0,0,ROUND(MAX(0,J117-F117),2))</f>
        <v/>
      </c>
      <c r="L117" s="20">
        <f>IF(D117&lt;=0,0,ROUND(MAX(0,D117-K117),2))</f>
        <v/>
      </c>
      <c r="M117" s="21">
        <f>IF(L117&lt;=0,0,IFERROR(MATCH(TRUE,INDEX(L117:L327&lt;=0,0),0),211))</f>
        <v/>
      </c>
    </row>
    <row r="118" ht="18" customHeight="1">
      <c r="A118" s="22" t="n">
        <v>116</v>
      </c>
      <c r="B118" s="23">
        <f>IF(C118&lt;=Parametry!$C$6,DATE(Parametry!$C$12+INT((Parametry!$C$13+116-2)/12),MOD(Parametry!$C$13+116-2,12)+1,Parametry!$C$11),"")</f>
        <v/>
      </c>
      <c r="C118" s="24" t="n">
        <v>116</v>
      </c>
      <c r="D118" s="25">
        <f>IF(C118&lt;=Parametry!$C$6,L117,0)</f>
        <v/>
      </c>
      <c r="E118" s="26">
        <f>IF(OR(D118&lt;=0,C118&gt;Parametry!$C$6),0,IF(C118&lt;=Parametry!$C$9+1,Parametry!$C$8,Parametry!$C$10))</f>
        <v/>
      </c>
      <c r="F118" s="25">
        <f>IF(D118&lt;=0,0,ROUND(D118*E118/12,2))</f>
        <v/>
      </c>
      <c r="G118" s="25">
        <f>IF(OR(D118&lt;=0,C118&gt;Parametry!$C$6),0,MIN(IF(C118&lt;=Parametry!$C$9+1,Parametry!$C$7,Parametry!$C$14),ROUND(D118+F118,2)))</f>
        <v/>
      </c>
      <c r="H118" s="18" t="n"/>
      <c r="I118" s="19">
        <f>IF(OR(L118&lt;=0,C118&gt;=Parametry!$C$6),0,INDEX(G:G,ROW()+1))</f>
        <v/>
      </c>
      <c r="J118" s="27">
        <f>IF(D118&lt;=0,0,MIN(G118+N(H118),ROUND(D118+F118,2)))</f>
        <v/>
      </c>
      <c r="K118" s="25">
        <f>IF(J118&lt;=0,0,ROUND(MAX(0,J118-F118),2))</f>
        <v/>
      </c>
      <c r="L118" s="27">
        <f>IF(D118&lt;=0,0,ROUND(MAX(0,D118-K118),2))</f>
        <v/>
      </c>
      <c r="M118" s="28">
        <f>IF(L118&lt;=0,0,IFERROR(MATCH(TRUE,INDEX(L118:L327&lt;=0,0),0),210))</f>
        <v/>
      </c>
    </row>
    <row r="119" ht="18" customHeight="1">
      <c r="A119" s="13" t="n">
        <v>117</v>
      </c>
      <c r="B119" s="14">
        <f>IF(C119&lt;=Parametry!$C$6,DATE(Parametry!$C$12+INT((Parametry!$C$13+117-2)/12),MOD(Parametry!$C$13+117-2,12)+1,Parametry!$C$11),"")</f>
        <v/>
      </c>
      <c r="C119" s="15" t="n">
        <v>117</v>
      </c>
      <c r="D119" s="16">
        <f>IF(C119&lt;=Parametry!$C$6,L118,0)</f>
        <v/>
      </c>
      <c r="E119" s="17">
        <f>IF(OR(D119&lt;=0,C119&gt;Parametry!$C$6),0,IF(C119&lt;=Parametry!$C$9+1,Parametry!$C$8,Parametry!$C$10))</f>
        <v/>
      </c>
      <c r="F119" s="16">
        <f>IF(D119&lt;=0,0,ROUND(D119*E119/12,2))</f>
        <v/>
      </c>
      <c r="G119" s="16">
        <f>IF(OR(D119&lt;=0,C119&gt;Parametry!$C$6),0,MIN(IF(C119&lt;=Parametry!$C$9+1,Parametry!$C$7,Parametry!$C$14),ROUND(D119+F119,2)))</f>
        <v/>
      </c>
      <c r="H119" s="18" t="n"/>
      <c r="I119" s="19">
        <f>IF(OR(L119&lt;=0,C119&gt;=Parametry!$C$6),0,INDEX(G:G,ROW()+1))</f>
        <v/>
      </c>
      <c r="J119" s="20">
        <f>IF(D119&lt;=0,0,MIN(G119+N(H119),ROUND(D119+F119,2)))</f>
        <v/>
      </c>
      <c r="K119" s="16">
        <f>IF(J119&lt;=0,0,ROUND(MAX(0,J119-F119),2))</f>
        <v/>
      </c>
      <c r="L119" s="20">
        <f>IF(D119&lt;=0,0,ROUND(MAX(0,D119-K119),2))</f>
        <v/>
      </c>
      <c r="M119" s="21">
        <f>IF(L119&lt;=0,0,IFERROR(MATCH(TRUE,INDEX(L119:L327&lt;=0,0),0),209))</f>
        <v/>
      </c>
    </row>
    <row r="120" ht="18" customHeight="1">
      <c r="A120" s="22" t="n">
        <v>118</v>
      </c>
      <c r="B120" s="23">
        <f>IF(C120&lt;=Parametry!$C$6,DATE(Parametry!$C$12+INT((Parametry!$C$13+118-2)/12),MOD(Parametry!$C$13+118-2,12)+1,Parametry!$C$11),"")</f>
        <v/>
      </c>
      <c r="C120" s="24" t="n">
        <v>118</v>
      </c>
      <c r="D120" s="25">
        <f>IF(C120&lt;=Parametry!$C$6,L119,0)</f>
        <v/>
      </c>
      <c r="E120" s="26">
        <f>IF(OR(D120&lt;=0,C120&gt;Parametry!$C$6),0,IF(C120&lt;=Parametry!$C$9+1,Parametry!$C$8,Parametry!$C$10))</f>
        <v/>
      </c>
      <c r="F120" s="25">
        <f>IF(D120&lt;=0,0,ROUND(D120*E120/12,2))</f>
        <v/>
      </c>
      <c r="G120" s="25">
        <f>IF(OR(D120&lt;=0,C120&gt;Parametry!$C$6),0,MIN(IF(C120&lt;=Parametry!$C$9+1,Parametry!$C$7,Parametry!$C$14),ROUND(D120+F120,2)))</f>
        <v/>
      </c>
      <c r="H120" s="18" t="n"/>
      <c r="I120" s="19">
        <f>IF(OR(L120&lt;=0,C120&gt;=Parametry!$C$6),0,INDEX(G:G,ROW()+1))</f>
        <v/>
      </c>
      <c r="J120" s="27">
        <f>IF(D120&lt;=0,0,MIN(G120+N(H120),ROUND(D120+F120,2)))</f>
        <v/>
      </c>
      <c r="K120" s="25">
        <f>IF(J120&lt;=0,0,ROUND(MAX(0,J120-F120),2))</f>
        <v/>
      </c>
      <c r="L120" s="27">
        <f>IF(D120&lt;=0,0,ROUND(MAX(0,D120-K120),2))</f>
        <v/>
      </c>
      <c r="M120" s="28">
        <f>IF(L120&lt;=0,0,IFERROR(MATCH(TRUE,INDEX(L120:L327&lt;=0,0),0),208))</f>
        <v/>
      </c>
    </row>
    <row r="121" ht="18" customHeight="1">
      <c r="A121" s="13" t="n">
        <v>119</v>
      </c>
      <c r="B121" s="14">
        <f>IF(C121&lt;=Parametry!$C$6,DATE(Parametry!$C$12+INT((Parametry!$C$13+119-2)/12),MOD(Parametry!$C$13+119-2,12)+1,Parametry!$C$11),"")</f>
        <v/>
      </c>
      <c r="C121" s="15" t="n">
        <v>119</v>
      </c>
      <c r="D121" s="16">
        <f>IF(C121&lt;=Parametry!$C$6,L120,0)</f>
        <v/>
      </c>
      <c r="E121" s="17">
        <f>IF(OR(D121&lt;=0,C121&gt;Parametry!$C$6),0,IF(C121&lt;=Parametry!$C$9+1,Parametry!$C$8,Parametry!$C$10))</f>
        <v/>
      </c>
      <c r="F121" s="16">
        <f>IF(D121&lt;=0,0,ROUND(D121*E121/12,2))</f>
        <v/>
      </c>
      <c r="G121" s="16">
        <f>IF(OR(D121&lt;=0,C121&gt;Parametry!$C$6),0,MIN(IF(C121&lt;=Parametry!$C$9+1,Parametry!$C$7,Parametry!$C$14),ROUND(D121+F121,2)))</f>
        <v/>
      </c>
      <c r="H121" s="18" t="n"/>
      <c r="I121" s="19">
        <f>IF(OR(L121&lt;=0,C121&gt;=Parametry!$C$6),0,INDEX(G:G,ROW()+1))</f>
        <v/>
      </c>
      <c r="J121" s="20">
        <f>IF(D121&lt;=0,0,MIN(G121+N(H121),ROUND(D121+F121,2)))</f>
        <v/>
      </c>
      <c r="K121" s="16">
        <f>IF(J121&lt;=0,0,ROUND(MAX(0,J121-F121),2))</f>
        <v/>
      </c>
      <c r="L121" s="20">
        <f>IF(D121&lt;=0,0,ROUND(MAX(0,D121-K121),2))</f>
        <v/>
      </c>
      <c r="M121" s="21">
        <f>IF(L121&lt;=0,0,IFERROR(MATCH(TRUE,INDEX(L121:L327&lt;=0,0),0),207))</f>
        <v/>
      </c>
    </row>
    <row r="122" ht="18" customHeight="1">
      <c r="A122" s="22" t="n">
        <v>120</v>
      </c>
      <c r="B122" s="23">
        <f>IF(C122&lt;=Parametry!$C$6,DATE(Parametry!$C$12+INT((Parametry!$C$13+120-2)/12),MOD(Parametry!$C$13+120-2,12)+1,Parametry!$C$11),"")</f>
        <v/>
      </c>
      <c r="C122" s="24" t="n">
        <v>120</v>
      </c>
      <c r="D122" s="25">
        <f>IF(C122&lt;=Parametry!$C$6,L121,0)</f>
        <v/>
      </c>
      <c r="E122" s="26">
        <f>IF(OR(D122&lt;=0,C122&gt;Parametry!$C$6),0,IF(C122&lt;=Parametry!$C$9+1,Parametry!$C$8,Parametry!$C$10))</f>
        <v/>
      </c>
      <c r="F122" s="25">
        <f>IF(D122&lt;=0,0,ROUND(D122*E122/12,2))</f>
        <v/>
      </c>
      <c r="G122" s="25">
        <f>IF(OR(D122&lt;=0,C122&gt;Parametry!$C$6),0,MIN(IF(C122&lt;=Parametry!$C$9+1,Parametry!$C$7,Parametry!$C$14),ROUND(D122+F122,2)))</f>
        <v/>
      </c>
      <c r="H122" s="18" t="n"/>
      <c r="I122" s="19">
        <f>IF(OR(L122&lt;=0,C122&gt;=Parametry!$C$6),0,INDEX(G:G,ROW()+1))</f>
        <v/>
      </c>
      <c r="J122" s="27">
        <f>IF(D122&lt;=0,0,MIN(G122+N(H122),ROUND(D122+F122,2)))</f>
        <v/>
      </c>
      <c r="K122" s="25">
        <f>IF(J122&lt;=0,0,ROUND(MAX(0,J122-F122),2))</f>
        <v/>
      </c>
      <c r="L122" s="27">
        <f>IF(D122&lt;=0,0,ROUND(MAX(0,D122-K122),2))</f>
        <v/>
      </c>
      <c r="M122" s="28">
        <f>IF(L122&lt;=0,0,IFERROR(MATCH(TRUE,INDEX(L122:L327&lt;=0,0),0),206))</f>
        <v/>
      </c>
    </row>
    <row r="123" ht="18" customHeight="1">
      <c r="A123" s="13" t="n">
        <v>121</v>
      </c>
      <c r="B123" s="14">
        <f>IF(C123&lt;=Parametry!$C$6,DATE(Parametry!$C$12+INT((Parametry!$C$13+121-2)/12),MOD(Parametry!$C$13+121-2,12)+1,Parametry!$C$11),"")</f>
        <v/>
      </c>
      <c r="C123" s="15" t="n">
        <v>121</v>
      </c>
      <c r="D123" s="16">
        <f>IF(C123&lt;=Parametry!$C$6,L122,0)</f>
        <v/>
      </c>
      <c r="E123" s="17">
        <f>IF(OR(D123&lt;=0,C123&gt;Parametry!$C$6),0,IF(C123&lt;=Parametry!$C$9+1,Parametry!$C$8,Parametry!$C$10))</f>
        <v/>
      </c>
      <c r="F123" s="16">
        <f>IF(D123&lt;=0,0,ROUND(D123*E123/12,2))</f>
        <v/>
      </c>
      <c r="G123" s="16">
        <f>IF(OR(D123&lt;=0,C123&gt;Parametry!$C$6),0,MIN(IF(C123&lt;=Parametry!$C$9+1,Parametry!$C$7,Parametry!$C$14),ROUND(D123+F123,2)))</f>
        <v/>
      </c>
      <c r="H123" s="18" t="n"/>
      <c r="I123" s="19">
        <f>IF(OR(L123&lt;=0,C123&gt;=Parametry!$C$6),0,INDEX(G:G,ROW()+1))</f>
        <v/>
      </c>
      <c r="J123" s="20">
        <f>IF(D123&lt;=0,0,MIN(G123+N(H123),ROUND(D123+F123,2)))</f>
        <v/>
      </c>
      <c r="K123" s="16">
        <f>IF(J123&lt;=0,0,ROUND(MAX(0,J123-F123),2))</f>
        <v/>
      </c>
      <c r="L123" s="20">
        <f>IF(D123&lt;=0,0,ROUND(MAX(0,D123-K123),2))</f>
        <v/>
      </c>
      <c r="M123" s="21">
        <f>IF(L123&lt;=0,0,IFERROR(MATCH(TRUE,INDEX(L123:L327&lt;=0,0),0),205))</f>
        <v/>
      </c>
    </row>
    <row r="124" ht="18" customHeight="1">
      <c r="A124" s="22" t="n">
        <v>122</v>
      </c>
      <c r="B124" s="23">
        <f>IF(C124&lt;=Parametry!$C$6,DATE(Parametry!$C$12+INT((Parametry!$C$13+122-2)/12),MOD(Parametry!$C$13+122-2,12)+1,Parametry!$C$11),"")</f>
        <v/>
      </c>
      <c r="C124" s="24" t="n">
        <v>122</v>
      </c>
      <c r="D124" s="25">
        <f>IF(C124&lt;=Parametry!$C$6,L123,0)</f>
        <v/>
      </c>
      <c r="E124" s="26">
        <f>IF(OR(D124&lt;=0,C124&gt;Parametry!$C$6),0,IF(C124&lt;=Parametry!$C$9+1,Parametry!$C$8,Parametry!$C$10))</f>
        <v/>
      </c>
      <c r="F124" s="25">
        <f>IF(D124&lt;=0,0,ROUND(D124*E124/12,2))</f>
        <v/>
      </c>
      <c r="G124" s="25">
        <f>IF(OR(D124&lt;=0,C124&gt;Parametry!$C$6),0,MIN(IF(C124&lt;=Parametry!$C$9+1,Parametry!$C$7,Parametry!$C$14),ROUND(D124+F124,2)))</f>
        <v/>
      </c>
      <c r="H124" s="18" t="n"/>
      <c r="I124" s="19">
        <f>IF(OR(L124&lt;=0,C124&gt;=Parametry!$C$6),0,INDEX(G:G,ROW()+1))</f>
        <v/>
      </c>
      <c r="J124" s="27">
        <f>IF(D124&lt;=0,0,MIN(G124+N(H124),ROUND(D124+F124,2)))</f>
        <v/>
      </c>
      <c r="K124" s="25">
        <f>IF(J124&lt;=0,0,ROUND(MAX(0,J124-F124),2))</f>
        <v/>
      </c>
      <c r="L124" s="27">
        <f>IF(D124&lt;=0,0,ROUND(MAX(0,D124-K124),2))</f>
        <v/>
      </c>
      <c r="M124" s="28">
        <f>IF(L124&lt;=0,0,IFERROR(MATCH(TRUE,INDEX(L124:L327&lt;=0,0),0),204))</f>
        <v/>
      </c>
    </row>
    <row r="125" ht="18" customHeight="1">
      <c r="A125" s="13" t="n">
        <v>123</v>
      </c>
      <c r="B125" s="14">
        <f>IF(C125&lt;=Parametry!$C$6,DATE(Parametry!$C$12+INT((Parametry!$C$13+123-2)/12),MOD(Parametry!$C$13+123-2,12)+1,Parametry!$C$11),"")</f>
        <v/>
      </c>
      <c r="C125" s="15" t="n">
        <v>123</v>
      </c>
      <c r="D125" s="16">
        <f>IF(C125&lt;=Parametry!$C$6,L124,0)</f>
        <v/>
      </c>
      <c r="E125" s="17">
        <f>IF(OR(D125&lt;=0,C125&gt;Parametry!$C$6),0,IF(C125&lt;=Parametry!$C$9+1,Parametry!$C$8,Parametry!$C$10))</f>
        <v/>
      </c>
      <c r="F125" s="16">
        <f>IF(D125&lt;=0,0,ROUND(D125*E125/12,2))</f>
        <v/>
      </c>
      <c r="G125" s="16">
        <f>IF(OR(D125&lt;=0,C125&gt;Parametry!$C$6),0,MIN(IF(C125&lt;=Parametry!$C$9+1,Parametry!$C$7,Parametry!$C$14),ROUND(D125+F125,2)))</f>
        <v/>
      </c>
      <c r="H125" s="18" t="n"/>
      <c r="I125" s="19">
        <f>IF(OR(L125&lt;=0,C125&gt;=Parametry!$C$6),0,INDEX(G:G,ROW()+1))</f>
        <v/>
      </c>
      <c r="J125" s="20">
        <f>IF(D125&lt;=0,0,MIN(G125+N(H125),ROUND(D125+F125,2)))</f>
        <v/>
      </c>
      <c r="K125" s="16">
        <f>IF(J125&lt;=0,0,ROUND(MAX(0,J125-F125),2))</f>
        <v/>
      </c>
      <c r="L125" s="20">
        <f>IF(D125&lt;=0,0,ROUND(MAX(0,D125-K125),2))</f>
        <v/>
      </c>
      <c r="M125" s="21">
        <f>IF(L125&lt;=0,0,IFERROR(MATCH(TRUE,INDEX(L125:L327&lt;=0,0),0),203))</f>
        <v/>
      </c>
    </row>
    <row r="126" ht="18" customHeight="1">
      <c r="A126" s="22" t="n">
        <v>124</v>
      </c>
      <c r="B126" s="23">
        <f>IF(C126&lt;=Parametry!$C$6,DATE(Parametry!$C$12+INT((Parametry!$C$13+124-2)/12),MOD(Parametry!$C$13+124-2,12)+1,Parametry!$C$11),"")</f>
        <v/>
      </c>
      <c r="C126" s="24" t="n">
        <v>124</v>
      </c>
      <c r="D126" s="25">
        <f>IF(C126&lt;=Parametry!$C$6,L125,0)</f>
        <v/>
      </c>
      <c r="E126" s="26">
        <f>IF(OR(D126&lt;=0,C126&gt;Parametry!$C$6),0,IF(C126&lt;=Parametry!$C$9+1,Parametry!$C$8,Parametry!$C$10))</f>
        <v/>
      </c>
      <c r="F126" s="25">
        <f>IF(D126&lt;=0,0,ROUND(D126*E126/12,2))</f>
        <v/>
      </c>
      <c r="G126" s="25">
        <f>IF(OR(D126&lt;=0,C126&gt;Parametry!$C$6),0,MIN(IF(C126&lt;=Parametry!$C$9+1,Parametry!$C$7,Parametry!$C$14),ROUND(D126+F126,2)))</f>
        <v/>
      </c>
      <c r="H126" s="18" t="n"/>
      <c r="I126" s="19">
        <f>IF(OR(L126&lt;=0,C126&gt;=Parametry!$C$6),0,INDEX(G:G,ROW()+1))</f>
        <v/>
      </c>
      <c r="J126" s="27">
        <f>IF(D126&lt;=0,0,MIN(G126+N(H126),ROUND(D126+F126,2)))</f>
        <v/>
      </c>
      <c r="K126" s="25">
        <f>IF(J126&lt;=0,0,ROUND(MAX(0,J126-F126),2))</f>
        <v/>
      </c>
      <c r="L126" s="27">
        <f>IF(D126&lt;=0,0,ROUND(MAX(0,D126-K126),2))</f>
        <v/>
      </c>
      <c r="M126" s="28">
        <f>IF(L126&lt;=0,0,IFERROR(MATCH(TRUE,INDEX(L126:L327&lt;=0,0),0),202))</f>
        <v/>
      </c>
    </row>
    <row r="127" ht="18" customHeight="1">
      <c r="A127" s="13" t="n">
        <v>125</v>
      </c>
      <c r="B127" s="14">
        <f>IF(C127&lt;=Parametry!$C$6,DATE(Parametry!$C$12+INT((Parametry!$C$13+125-2)/12),MOD(Parametry!$C$13+125-2,12)+1,Parametry!$C$11),"")</f>
        <v/>
      </c>
      <c r="C127" s="15" t="n">
        <v>125</v>
      </c>
      <c r="D127" s="16">
        <f>IF(C127&lt;=Parametry!$C$6,L126,0)</f>
        <v/>
      </c>
      <c r="E127" s="17">
        <f>IF(OR(D127&lt;=0,C127&gt;Parametry!$C$6),0,IF(C127&lt;=Parametry!$C$9+1,Parametry!$C$8,Parametry!$C$10))</f>
        <v/>
      </c>
      <c r="F127" s="16">
        <f>IF(D127&lt;=0,0,ROUND(D127*E127/12,2))</f>
        <v/>
      </c>
      <c r="G127" s="16">
        <f>IF(OR(D127&lt;=0,C127&gt;Parametry!$C$6),0,MIN(IF(C127&lt;=Parametry!$C$9+1,Parametry!$C$7,Parametry!$C$14),ROUND(D127+F127,2)))</f>
        <v/>
      </c>
      <c r="H127" s="18" t="n"/>
      <c r="I127" s="19">
        <f>IF(OR(L127&lt;=0,C127&gt;=Parametry!$C$6),0,INDEX(G:G,ROW()+1))</f>
        <v/>
      </c>
      <c r="J127" s="20">
        <f>IF(D127&lt;=0,0,MIN(G127+N(H127),ROUND(D127+F127,2)))</f>
        <v/>
      </c>
      <c r="K127" s="16">
        <f>IF(J127&lt;=0,0,ROUND(MAX(0,J127-F127),2))</f>
        <v/>
      </c>
      <c r="L127" s="20">
        <f>IF(D127&lt;=0,0,ROUND(MAX(0,D127-K127),2))</f>
        <v/>
      </c>
      <c r="M127" s="21">
        <f>IF(L127&lt;=0,0,IFERROR(MATCH(TRUE,INDEX(L127:L327&lt;=0,0),0),201))</f>
        <v/>
      </c>
    </row>
    <row r="128" ht="18" customHeight="1">
      <c r="A128" s="22" t="n">
        <v>126</v>
      </c>
      <c r="B128" s="23">
        <f>IF(C128&lt;=Parametry!$C$6,DATE(Parametry!$C$12+INT((Parametry!$C$13+126-2)/12),MOD(Parametry!$C$13+126-2,12)+1,Parametry!$C$11),"")</f>
        <v/>
      </c>
      <c r="C128" s="24" t="n">
        <v>126</v>
      </c>
      <c r="D128" s="25">
        <f>IF(C128&lt;=Parametry!$C$6,L127,0)</f>
        <v/>
      </c>
      <c r="E128" s="26">
        <f>IF(OR(D128&lt;=0,C128&gt;Parametry!$C$6),0,IF(C128&lt;=Parametry!$C$9+1,Parametry!$C$8,Parametry!$C$10))</f>
        <v/>
      </c>
      <c r="F128" s="25">
        <f>IF(D128&lt;=0,0,ROUND(D128*E128/12,2))</f>
        <v/>
      </c>
      <c r="G128" s="25">
        <f>IF(OR(D128&lt;=0,C128&gt;Parametry!$C$6),0,MIN(IF(C128&lt;=Parametry!$C$9+1,Parametry!$C$7,Parametry!$C$14),ROUND(D128+F128,2)))</f>
        <v/>
      </c>
      <c r="H128" s="18" t="n"/>
      <c r="I128" s="19">
        <f>IF(OR(L128&lt;=0,C128&gt;=Parametry!$C$6),0,INDEX(G:G,ROW()+1))</f>
        <v/>
      </c>
      <c r="J128" s="27">
        <f>IF(D128&lt;=0,0,MIN(G128+N(H128),ROUND(D128+F128,2)))</f>
        <v/>
      </c>
      <c r="K128" s="25">
        <f>IF(J128&lt;=0,0,ROUND(MAX(0,J128-F128),2))</f>
        <v/>
      </c>
      <c r="L128" s="27">
        <f>IF(D128&lt;=0,0,ROUND(MAX(0,D128-K128),2))</f>
        <v/>
      </c>
      <c r="M128" s="28">
        <f>IF(L128&lt;=0,0,IFERROR(MATCH(TRUE,INDEX(L128:L327&lt;=0,0),0),200))</f>
        <v/>
      </c>
    </row>
    <row r="129" ht="18" customHeight="1">
      <c r="A129" s="13" t="n">
        <v>127</v>
      </c>
      <c r="B129" s="14">
        <f>IF(C129&lt;=Parametry!$C$6,DATE(Parametry!$C$12+INT((Parametry!$C$13+127-2)/12),MOD(Parametry!$C$13+127-2,12)+1,Parametry!$C$11),"")</f>
        <v/>
      </c>
      <c r="C129" s="15" t="n">
        <v>127</v>
      </c>
      <c r="D129" s="16">
        <f>IF(C129&lt;=Parametry!$C$6,L128,0)</f>
        <v/>
      </c>
      <c r="E129" s="17">
        <f>IF(OR(D129&lt;=0,C129&gt;Parametry!$C$6),0,IF(C129&lt;=Parametry!$C$9+1,Parametry!$C$8,Parametry!$C$10))</f>
        <v/>
      </c>
      <c r="F129" s="16">
        <f>IF(D129&lt;=0,0,ROUND(D129*E129/12,2))</f>
        <v/>
      </c>
      <c r="G129" s="16">
        <f>IF(OR(D129&lt;=0,C129&gt;Parametry!$C$6),0,MIN(IF(C129&lt;=Parametry!$C$9+1,Parametry!$C$7,Parametry!$C$14),ROUND(D129+F129,2)))</f>
        <v/>
      </c>
      <c r="H129" s="18" t="n"/>
      <c r="I129" s="19">
        <f>IF(OR(L129&lt;=0,C129&gt;=Parametry!$C$6),0,INDEX(G:G,ROW()+1))</f>
        <v/>
      </c>
      <c r="J129" s="20">
        <f>IF(D129&lt;=0,0,MIN(G129+N(H129),ROUND(D129+F129,2)))</f>
        <v/>
      </c>
      <c r="K129" s="16">
        <f>IF(J129&lt;=0,0,ROUND(MAX(0,J129-F129),2))</f>
        <v/>
      </c>
      <c r="L129" s="20">
        <f>IF(D129&lt;=0,0,ROUND(MAX(0,D129-K129),2))</f>
        <v/>
      </c>
      <c r="M129" s="21">
        <f>IF(L129&lt;=0,0,IFERROR(MATCH(TRUE,INDEX(L129:L327&lt;=0,0),0),199))</f>
        <v/>
      </c>
    </row>
    <row r="130" ht="18" customHeight="1">
      <c r="A130" s="22" t="n">
        <v>128</v>
      </c>
      <c r="B130" s="23">
        <f>IF(C130&lt;=Parametry!$C$6,DATE(Parametry!$C$12+INT((Parametry!$C$13+128-2)/12),MOD(Parametry!$C$13+128-2,12)+1,Parametry!$C$11),"")</f>
        <v/>
      </c>
      <c r="C130" s="24" t="n">
        <v>128</v>
      </c>
      <c r="D130" s="25">
        <f>IF(C130&lt;=Parametry!$C$6,L129,0)</f>
        <v/>
      </c>
      <c r="E130" s="26">
        <f>IF(OR(D130&lt;=0,C130&gt;Parametry!$C$6),0,IF(C130&lt;=Parametry!$C$9+1,Parametry!$C$8,Parametry!$C$10))</f>
        <v/>
      </c>
      <c r="F130" s="25">
        <f>IF(D130&lt;=0,0,ROUND(D130*E130/12,2))</f>
        <v/>
      </c>
      <c r="G130" s="25">
        <f>IF(OR(D130&lt;=0,C130&gt;Parametry!$C$6),0,MIN(IF(C130&lt;=Parametry!$C$9+1,Parametry!$C$7,Parametry!$C$14),ROUND(D130+F130,2)))</f>
        <v/>
      </c>
      <c r="H130" s="18" t="n"/>
      <c r="I130" s="19">
        <f>IF(OR(L130&lt;=0,C130&gt;=Parametry!$C$6),0,INDEX(G:G,ROW()+1))</f>
        <v/>
      </c>
      <c r="J130" s="27">
        <f>IF(D130&lt;=0,0,MIN(G130+N(H130),ROUND(D130+F130,2)))</f>
        <v/>
      </c>
      <c r="K130" s="25">
        <f>IF(J130&lt;=0,0,ROUND(MAX(0,J130-F130),2))</f>
        <v/>
      </c>
      <c r="L130" s="27">
        <f>IF(D130&lt;=0,0,ROUND(MAX(0,D130-K130),2))</f>
        <v/>
      </c>
      <c r="M130" s="28">
        <f>IF(L130&lt;=0,0,IFERROR(MATCH(TRUE,INDEX(L130:L327&lt;=0,0),0),198))</f>
        <v/>
      </c>
    </row>
    <row r="131" ht="18" customHeight="1">
      <c r="A131" s="13" t="n">
        <v>129</v>
      </c>
      <c r="B131" s="14">
        <f>IF(C131&lt;=Parametry!$C$6,DATE(Parametry!$C$12+INT((Parametry!$C$13+129-2)/12),MOD(Parametry!$C$13+129-2,12)+1,Parametry!$C$11),"")</f>
        <v/>
      </c>
      <c r="C131" s="15" t="n">
        <v>129</v>
      </c>
      <c r="D131" s="16">
        <f>IF(C131&lt;=Parametry!$C$6,L130,0)</f>
        <v/>
      </c>
      <c r="E131" s="17">
        <f>IF(OR(D131&lt;=0,C131&gt;Parametry!$C$6),0,IF(C131&lt;=Parametry!$C$9+1,Parametry!$C$8,Parametry!$C$10))</f>
        <v/>
      </c>
      <c r="F131" s="16">
        <f>IF(D131&lt;=0,0,ROUND(D131*E131/12,2))</f>
        <v/>
      </c>
      <c r="G131" s="16">
        <f>IF(OR(D131&lt;=0,C131&gt;Parametry!$C$6),0,MIN(IF(C131&lt;=Parametry!$C$9+1,Parametry!$C$7,Parametry!$C$14),ROUND(D131+F131,2)))</f>
        <v/>
      </c>
      <c r="H131" s="18" t="n"/>
      <c r="I131" s="19">
        <f>IF(OR(L131&lt;=0,C131&gt;=Parametry!$C$6),0,INDEX(G:G,ROW()+1))</f>
        <v/>
      </c>
      <c r="J131" s="20">
        <f>IF(D131&lt;=0,0,MIN(G131+N(H131),ROUND(D131+F131,2)))</f>
        <v/>
      </c>
      <c r="K131" s="16">
        <f>IF(J131&lt;=0,0,ROUND(MAX(0,J131-F131),2))</f>
        <v/>
      </c>
      <c r="L131" s="20">
        <f>IF(D131&lt;=0,0,ROUND(MAX(0,D131-K131),2))</f>
        <v/>
      </c>
      <c r="M131" s="21">
        <f>IF(L131&lt;=0,0,IFERROR(MATCH(TRUE,INDEX(L131:L327&lt;=0,0),0),197))</f>
        <v/>
      </c>
    </row>
    <row r="132" ht="18" customHeight="1">
      <c r="A132" s="22" t="n">
        <v>130</v>
      </c>
      <c r="B132" s="23">
        <f>IF(C132&lt;=Parametry!$C$6,DATE(Parametry!$C$12+INT((Parametry!$C$13+130-2)/12),MOD(Parametry!$C$13+130-2,12)+1,Parametry!$C$11),"")</f>
        <v/>
      </c>
      <c r="C132" s="24" t="n">
        <v>130</v>
      </c>
      <c r="D132" s="25">
        <f>IF(C132&lt;=Parametry!$C$6,L131,0)</f>
        <v/>
      </c>
      <c r="E132" s="26">
        <f>IF(OR(D132&lt;=0,C132&gt;Parametry!$C$6),0,IF(C132&lt;=Parametry!$C$9+1,Parametry!$C$8,Parametry!$C$10))</f>
        <v/>
      </c>
      <c r="F132" s="25">
        <f>IF(D132&lt;=0,0,ROUND(D132*E132/12,2))</f>
        <v/>
      </c>
      <c r="G132" s="25">
        <f>IF(OR(D132&lt;=0,C132&gt;Parametry!$C$6),0,MIN(IF(C132&lt;=Parametry!$C$9+1,Parametry!$C$7,Parametry!$C$14),ROUND(D132+F132,2)))</f>
        <v/>
      </c>
      <c r="H132" s="18" t="n"/>
      <c r="I132" s="19">
        <f>IF(OR(L132&lt;=0,C132&gt;=Parametry!$C$6),0,INDEX(G:G,ROW()+1))</f>
        <v/>
      </c>
      <c r="J132" s="27">
        <f>IF(D132&lt;=0,0,MIN(G132+N(H132),ROUND(D132+F132,2)))</f>
        <v/>
      </c>
      <c r="K132" s="25">
        <f>IF(J132&lt;=0,0,ROUND(MAX(0,J132-F132),2))</f>
        <v/>
      </c>
      <c r="L132" s="27">
        <f>IF(D132&lt;=0,0,ROUND(MAX(0,D132-K132),2))</f>
        <v/>
      </c>
      <c r="M132" s="28">
        <f>IF(L132&lt;=0,0,IFERROR(MATCH(TRUE,INDEX(L132:L327&lt;=0,0),0),196))</f>
        <v/>
      </c>
    </row>
    <row r="133" ht="18" customHeight="1">
      <c r="A133" s="13" t="n">
        <v>131</v>
      </c>
      <c r="B133" s="14">
        <f>IF(C133&lt;=Parametry!$C$6,DATE(Parametry!$C$12+INT((Parametry!$C$13+131-2)/12),MOD(Parametry!$C$13+131-2,12)+1,Parametry!$C$11),"")</f>
        <v/>
      </c>
      <c r="C133" s="15" t="n">
        <v>131</v>
      </c>
      <c r="D133" s="16">
        <f>IF(C133&lt;=Parametry!$C$6,L132,0)</f>
        <v/>
      </c>
      <c r="E133" s="17">
        <f>IF(OR(D133&lt;=0,C133&gt;Parametry!$C$6),0,IF(C133&lt;=Parametry!$C$9+1,Parametry!$C$8,Parametry!$C$10))</f>
        <v/>
      </c>
      <c r="F133" s="16">
        <f>IF(D133&lt;=0,0,ROUND(D133*E133/12,2))</f>
        <v/>
      </c>
      <c r="G133" s="16">
        <f>IF(OR(D133&lt;=0,C133&gt;Parametry!$C$6),0,MIN(IF(C133&lt;=Parametry!$C$9+1,Parametry!$C$7,Parametry!$C$14),ROUND(D133+F133,2)))</f>
        <v/>
      </c>
      <c r="H133" s="18" t="n"/>
      <c r="I133" s="19">
        <f>IF(OR(L133&lt;=0,C133&gt;=Parametry!$C$6),0,INDEX(G:G,ROW()+1))</f>
        <v/>
      </c>
      <c r="J133" s="20">
        <f>IF(D133&lt;=0,0,MIN(G133+N(H133),ROUND(D133+F133,2)))</f>
        <v/>
      </c>
      <c r="K133" s="16">
        <f>IF(J133&lt;=0,0,ROUND(MAX(0,J133-F133),2))</f>
        <v/>
      </c>
      <c r="L133" s="20">
        <f>IF(D133&lt;=0,0,ROUND(MAX(0,D133-K133),2))</f>
        <v/>
      </c>
      <c r="M133" s="21">
        <f>IF(L133&lt;=0,0,IFERROR(MATCH(TRUE,INDEX(L133:L327&lt;=0,0),0),195))</f>
        <v/>
      </c>
    </row>
    <row r="134" ht="18" customHeight="1">
      <c r="A134" s="22" t="n">
        <v>132</v>
      </c>
      <c r="B134" s="23">
        <f>IF(C134&lt;=Parametry!$C$6,DATE(Parametry!$C$12+INT((Parametry!$C$13+132-2)/12),MOD(Parametry!$C$13+132-2,12)+1,Parametry!$C$11),"")</f>
        <v/>
      </c>
      <c r="C134" s="24" t="n">
        <v>132</v>
      </c>
      <c r="D134" s="25">
        <f>IF(C134&lt;=Parametry!$C$6,L133,0)</f>
        <v/>
      </c>
      <c r="E134" s="26">
        <f>IF(OR(D134&lt;=0,C134&gt;Parametry!$C$6),0,IF(C134&lt;=Parametry!$C$9+1,Parametry!$C$8,Parametry!$C$10))</f>
        <v/>
      </c>
      <c r="F134" s="25">
        <f>IF(D134&lt;=0,0,ROUND(D134*E134/12,2))</f>
        <v/>
      </c>
      <c r="G134" s="25">
        <f>IF(OR(D134&lt;=0,C134&gt;Parametry!$C$6),0,MIN(IF(C134&lt;=Parametry!$C$9+1,Parametry!$C$7,Parametry!$C$14),ROUND(D134+F134,2)))</f>
        <v/>
      </c>
      <c r="H134" s="18" t="n"/>
      <c r="I134" s="19">
        <f>IF(OR(L134&lt;=0,C134&gt;=Parametry!$C$6),0,INDEX(G:G,ROW()+1))</f>
        <v/>
      </c>
      <c r="J134" s="27">
        <f>IF(D134&lt;=0,0,MIN(G134+N(H134),ROUND(D134+F134,2)))</f>
        <v/>
      </c>
      <c r="K134" s="25">
        <f>IF(J134&lt;=0,0,ROUND(MAX(0,J134-F134),2))</f>
        <v/>
      </c>
      <c r="L134" s="27">
        <f>IF(D134&lt;=0,0,ROUND(MAX(0,D134-K134),2))</f>
        <v/>
      </c>
      <c r="M134" s="28">
        <f>IF(L134&lt;=0,0,IFERROR(MATCH(TRUE,INDEX(L134:L327&lt;=0,0),0),194))</f>
        <v/>
      </c>
    </row>
    <row r="135" ht="18" customHeight="1">
      <c r="A135" s="13" t="n">
        <v>133</v>
      </c>
      <c r="B135" s="14">
        <f>IF(C135&lt;=Parametry!$C$6,DATE(Parametry!$C$12+INT((Parametry!$C$13+133-2)/12),MOD(Parametry!$C$13+133-2,12)+1,Parametry!$C$11),"")</f>
        <v/>
      </c>
      <c r="C135" s="15" t="n">
        <v>133</v>
      </c>
      <c r="D135" s="16">
        <f>IF(C135&lt;=Parametry!$C$6,L134,0)</f>
        <v/>
      </c>
      <c r="E135" s="17">
        <f>IF(OR(D135&lt;=0,C135&gt;Parametry!$C$6),0,IF(C135&lt;=Parametry!$C$9+1,Parametry!$C$8,Parametry!$C$10))</f>
        <v/>
      </c>
      <c r="F135" s="16">
        <f>IF(D135&lt;=0,0,ROUND(D135*E135/12,2))</f>
        <v/>
      </c>
      <c r="G135" s="16">
        <f>IF(OR(D135&lt;=0,C135&gt;Parametry!$C$6),0,MIN(IF(C135&lt;=Parametry!$C$9+1,Parametry!$C$7,Parametry!$C$14),ROUND(D135+F135,2)))</f>
        <v/>
      </c>
      <c r="H135" s="18" t="n"/>
      <c r="I135" s="19">
        <f>IF(OR(L135&lt;=0,C135&gt;=Parametry!$C$6),0,INDEX(G:G,ROW()+1))</f>
        <v/>
      </c>
      <c r="J135" s="20">
        <f>IF(D135&lt;=0,0,MIN(G135+N(H135),ROUND(D135+F135,2)))</f>
        <v/>
      </c>
      <c r="K135" s="16">
        <f>IF(J135&lt;=0,0,ROUND(MAX(0,J135-F135),2))</f>
        <v/>
      </c>
      <c r="L135" s="20">
        <f>IF(D135&lt;=0,0,ROUND(MAX(0,D135-K135),2))</f>
        <v/>
      </c>
      <c r="M135" s="21">
        <f>IF(L135&lt;=0,0,IFERROR(MATCH(TRUE,INDEX(L135:L327&lt;=0,0),0),193))</f>
        <v/>
      </c>
    </row>
    <row r="136" ht="18" customHeight="1">
      <c r="A136" s="22" t="n">
        <v>134</v>
      </c>
      <c r="B136" s="23">
        <f>IF(C136&lt;=Parametry!$C$6,DATE(Parametry!$C$12+INT((Parametry!$C$13+134-2)/12),MOD(Parametry!$C$13+134-2,12)+1,Parametry!$C$11),"")</f>
        <v/>
      </c>
      <c r="C136" s="24" t="n">
        <v>134</v>
      </c>
      <c r="D136" s="25">
        <f>IF(C136&lt;=Parametry!$C$6,L135,0)</f>
        <v/>
      </c>
      <c r="E136" s="26">
        <f>IF(OR(D136&lt;=0,C136&gt;Parametry!$C$6),0,IF(C136&lt;=Parametry!$C$9+1,Parametry!$C$8,Parametry!$C$10))</f>
        <v/>
      </c>
      <c r="F136" s="25">
        <f>IF(D136&lt;=0,0,ROUND(D136*E136/12,2))</f>
        <v/>
      </c>
      <c r="G136" s="25">
        <f>IF(OR(D136&lt;=0,C136&gt;Parametry!$C$6),0,MIN(IF(C136&lt;=Parametry!$C$9+1,Parametry!$C$7,Parametry!$C$14),ROUND(D136+F136,2)))</f>
        <v/>
      </c>
      <c r="H136" s="18" t="n"/>
      <c r="I136" s="19">
        <f>IF(OR(L136&lt;=0,C136&gt;=Parametry!$C$6),0,INDEX(G:G,ROW()+1))</f>
        <v/>
      </c>
      <c r="J136" s="27">
        <f>IF(D136&lt;=0,0,MIN(G136+N(H136),ROUND(D136+F136,2)))</f>
        <v/>
      </c>
      <c r="K136" s="25">
        <f>IF(J136&lt;=0,0,ROUND(MAX(0,J136-F136),2))</f>
        <v/>
      </c>
      <c r="L136" s="27">
        <f>IF(D136&lt;=0,0,ROUND(MAX(0,D136-K136),2))</f>
        <v/>
      </c>
      <c r="M136" s="28">
        <f>IF(L136&lt;=0,0,IFERROR(MATCH(TRUE,INDEX(L136:L327&lt;=0,0),0),192))</f>
        <v/>
      </c>
    </row>
    <row r="137" ht="18" customHeight="1">
      <c r="A137" s="13" t="n">
        <v>135</v>
      </c>
      <c r="B137" s="14">
        <f>IF(C137&lt;=Parametry!$C$6,DATE(Parametry!$C$12+INT((Parametry!$C$13+135-2)/12),MOD(Parametry!$C$13+135-2,12)+1,Parametry!$C$11),"")</f>
        <v/>
      </c>
      <c r="C137" s="15" t="n">
        <v>135</v>
      </c>
      <c r="D137" s="16">
        <f>IF(C137&lt;=Parametry!$C$6,L136,0)</f>
        <v/>
      </c>
      <c r="E137" s="17">
        <f>IF(OR(D137&lt;=0,C137&gt;Parametry!$C$6),0,IF(C137&lt;=Parametry!$C$9+1,Parametry!$C$8,Parametry!$C$10))</f>
        <v/>
      </c>
      <c r="F137" s="16">
        <f>IF(D137&lt;=0,0,ROUND(D137*E137/12,2))</f>
        <v/>
      </c>
      <c r="G137" s="16">
        <f>IF(OR(D137&lt;=0,C137&gt;Parametry!$C$6),0,MIN(IF(C137&lt;=Parametry!$C$9+1,Parametry!$C$7,Parametry!$C$14),ROUND(D137+F137,2)))</f>
        <v/>
      </c>
      <c r="H137" s="18" t="n"/>
      <c r="I137" s="19">
        <f>IF(OR(L137&lt;=0,C137&gt;=Parametry!$C$6),0,INDEX(G:G,ROW()+1))</f>
        <v/>
      </c>
      <c r="J137" s="20">
        <f>IF(D137&lt;=0,0,MIN(G137+N(H137),ROUND(D137+F137,2)))</f>
        <v/>
      </c>
      <c r="K137" s="16">
        <f>IF(J137&lt;=0,0,ROUND(MAX(0,J137-F137),2))</f>
        <v/>
      </c>
      <c r="L137" s="20">
        <f>IF(D137&lt;=0,0,ROUND(MAX(0,D137-K137),2))</f>
        <v/>
      </c>
      <c r="M137" s="21">
        <f>IF(L137&lt;=0,0,IFERROR(MATCH(TRUE,INDEX(L137:L327&lt;=0,0),0),191))</f>
        <v/>
      </c>
    </row>
    <row r="138" ht="18" customHeight="1">
      <c r="A138" s="22" t="n">
        <v>136</v>
      </c>
      <c r="B138" s="23">
        <f>IF(C138&lt;=Parametry!$C$6,DATE(Parametry!$C$12+INT((Parametry!$C$13+136-2)/12),MOD(Parametry!$C$13+136-2,12)+1,Parametry!$C$11),"")</f>
        <v/>
      </c>
      <c r="C138" s="24" t="n">
        <v>136</v>
      </c>
      <c r="D138" s="25">
        <f>IF(C138&lt;=Parametry!$C$6,L137,0)</f>
        <v/>
      </c>
      <c r="E138" s="26">
        <f>IF(OR(D138&lt;=0,C138&gt;Parametry!$C$6),0,IF(C138&lt;=Parametry!$C$9+1,Parametry!$C$8,Parametry!$C$10))</f>
        <v/>
      </c>
      <c r="F138" s="25">
        <f>IF(D138&lt;=0,0,ROUND(D138*E138/12,2))</f>
        <v/>
      </c>
      <c r="G138" s="25">
        <f>IF(OR(D138&lt;=0,C138&gt;Parametry!$C$6),0,MIN(IF(C138&lt;=Parametry!$C$9+1,Parametry!$C$7,Parametry!$C$14),ROUND(D138+F138,2)))</f>
        <v/>
      </c>
      <c r="H138" s="18" t="n"/>
      <c r="I138" s="19">
        <f>IF(OR(L138&lt;=0,C138&gt;=Parametry!$C$6),0,INDEX(G:G,ROW()+1))</f>
        <v/>
      </c>
      <c r="J138" s="27">
        <f>IF(D138&lt;=0,0,MIN(G138+N(H138),ROUND(D138+F138,2)))</f>
        <v/>
      </c>
      <c r="K138" s="25">
        <f>IF(J138&lt;=0,0,ROUND(MAX(0,J138-F138),2))</f>
        <v/>
      </c>
      <c r="L138" s="27">
        <f>IF(D138&lt;=0,0,ROUND(MAX(0,D138-K138),2))</f>
        <v/>
      </c>
      <c r="M138" s="28">
        <f>IF(L138&lt;=0,0,IFERROR(MATCH(TRUE,INDEX(L138:L327&lt;=0,0),0),190))</f>
        <v/>
      </c>
    </row>
    <row r="139" ht="18" customHeight="1">
      <c r="A139" s="13" t="n">
        <v>137</v>
      </c>
      <c r="B139" s="14">
        <f>IF(C139&lt;=Parametry!$C$6,DATE(Parametry!$C$12+INT((Parametry!$C$13+137-2)/12),MOD(Parametry!$C$13+137-2,12)+1,Parametry!$C$11),"")</f>
        <v/>
      </c>
      <c r="C139" s="15" t="n">
        <v>137</v>
      </c>
      <c r="D139" s="16">
        <f>IF(C139&lt;=Parametry!$C$6,L138,0)</f>
        <v/>
      </c>
      <c r="E139" s="17">
        <f>IF(OR(D139&lt;=0,C139&gt;Parametry!$C$6),0,IF(C139&lt;=Parametry!$C$9+1,Parametry!$C$8,Parametry!$C$10))</f>
        <v/>
      </c>
      <c r="F139" s="16">
        <f>IF(D139&lt;=0,0,ROUND(D139*E139/12,2))</f>
        <v/>
      </c>
      <c r="G139" s="16">
        <f>IF(OR(D139&lt;=0,C139&gt;Parametry!$C$6),0,MIN(IF(C139&lt;=Parametry!$C$9+1,Parametry!$C$7,Parametry!$C$14),ROUND(D139+F139,2)))</f>
        <v/>
      </c>
      <c r="H139" s="18" t="n"/>
      <c r="I139" s="19">
        <f>IF(OR(L139&lt;=0,C139&gt;=Parametry!$C$6),0,INDEX(G:G,ROW()+1))</f>
        <v/>
      </c>
      <c r="J139" s="20">
        <f>IF(D139&lt;=0,0,MIN(G139+N(H139),ROUND(D139+F139,2)))</f>
        <v/>
      </c>
      <c r="K139" s="16">
        <f>IF(J139&lt;=0,0,ROUND(MAX(0,J139-F139),2))</f>
        <v/>
      </c>
      <c r="L139" s="20">
        <f>IF(D139&lt;=0,0,ROUND(MAX(0,D139-K139),2))</f>
        <v/>
      </c>
      <c r="M139" s="21">
        <f>IF(L139&lt;=0,0,IFERROR(MATCH(TRUE,INDEX(L139:L327&lt;=0,0),0),189))</f>
        <v/>
      </c>
    </row>
    <row r="140" ht="18" customHeight="1">
      <c r="A140" s="22" t="n">
        <v>138</v>
      </c>
      <c r="B140" s="23">
        <f>IF(C140&lt;=Parametry!$C$6,DATE(Parametry!$C$12+INT((Parametry!$C$13+138-2)/12),MOD(Parametry!$C$13+138-2,12)+1,Parametry!$C$11),"")</f>
        <v/>
      </c>
      <c r="C140" s="24" t="n">
        <v>138</v>
      </c>
      <c r="D140" s="25">
        <f>IF(C140&lt;=Parametry!$C$6,L139,0)</f>
        <v/>
      </c>
      <c r="E140" s="26">
        <f>IF(OR(D140&lt;=0,C140&gt;Parametry!$C$6),0,IF(C140&lt;=Parametry!$C$9+1,Parametry!$C$8,Parametry!$C$10))</f>
        <v/>
      </c>
      <c r="F140" s="25">
        <f>IF(D140&lt;=0,0,ROUND(D140*E140/12,2))</f>
        <v/>
      </c>
      <c r="G140" s="25">
        <f>IF(OR(D140&lt;=0,C140&gt;Parametry!$C$6),0,MIN(IF(C140&lt;=Parametry!$C$9+1,Parametry!$C$7,Parametry!$C$14),ROUND(D140+F140,2)))</f>
        <v/>
      </c>
      <c r="H140" s="18" t="n"/>
      <c r="I140" s="19">
        <f>IF(OR(L140&lt;=0,C140&gt;=Parametry!$C$6),0,INDEX(G:G,ROW()+1))</f>
        <v/>
      </c>
      <c r="J140" s="27">
        <f>IF(D140&lt;=0,0,MIN(G140+N(H140),ROUND(D140+F140,2)))</f>
        <v/>
      </c>
      <c r="K140" s="25">
        <f>IF(J140&lt;=0,0,ROUND(MAX(0,J140-F140),2))</f>
        <v/>
      </c>
      <c r="L140" s="27">
        <f>IF(D140&lt;=0,0,ROUND(MAX(0,D140-K140),2))</f>
        <v/>
      </c>
      <c r="M140" s="28">
        <f>IF(L140&lt;=0,0,IFERROR(MATCH(TRUE,INDEX(L140:L327&lt;=0,0),0),188))</f>
        <v/>
      </c>
    </row>
    <row r="141" ht="18" customHeight="1">
      <c r="A141" s="13" t="n">
        <v>139</v>
      </c>
      <c r="B141" s="14">
        <f>IF(C141&lt;=Parametry!$C$6,DATE(Parametry!$C$12+INT((Parametry!$C$13+139-2)/12),MOD(Parametry!$C$13+139-2,12)+1,Parametry!$C$11),"")</f>
        <v/>
      </c>
      <c r="C141" s="15" t="n">
        <v>139</v>
      </c>
      <c r="D141" s="16">
        <f>IF(C141&lt;=Parametry!$C$6,L140,0)</f>
        <v/>
      </c>
      <c r="E141" s="17">
        <f>IF(OR(D141&lt;=0,C141&gt;Parametry!$C$6),0,IF(C141&lt;=Parametry!$C$9+1,Parametry!$C$8,Parametry!$C$10))</f>
        <v/>
      </c>
      <c r="F141" s="16">
        <f>IF(D141&lt;=0,0,ROUND(D141*E141/12,2))</f>
        <v/>
      </c>
      <c r="G141" s="16">
        <f>IF(OR(D141&lt;=0,C141&gt;Parametry!$C$6),0,MIN(IF(C141&lt;=Parametry!$C$9+1,Parametry!$C$7,Parametry!$C$14),ROUND(D141+F141,2)))</f>
        <v/>
      </c>
      <c r="H141" s="18" t="n"/>
      <c r="I141" s="19">
        <f>IF(OR(L141&lt;=0,C141&gt;=Parametry!$C$6),0,INDEX(G:G,ROW()+1))</f>
        <v/>
      </c>
      <c r="J141" s="20">
        <f>IF(D141&lt;=0,0,MIN(G141+N(H141),ROUND(D141+F141,2)))</f>
        <v/>
      </c>
      <c r="K141" s="16">
        <f>IF(J141&lt;=0,0,ROUND(MAX(0,J141-F141),2))</f>
        <v/>
      </c>
      <c r="L141" s="20">
        <f>IF(D141&lt;=0,0,ROUND(MAX(0,D141-K141),2))</f>
        <v/>
      </c>
      <c r="M141" s="21">
        <f>IF(L141&lt;=0,0,IFERROR(MATCH(TRUE,INDEX(L141:L327&lt;=0,0),0),187))</f>
        <v/>
      </c>
    </row>
    <row r="142" ht="18" customHeight="1">
      <c r="A142" s="22" t="n">
        <v>140</v>
      </c>
      <c r="B142" s="23">
        <f>IF(C142&lt;=Parametry!$C$6,DATE(Parametry!$C$12+INT((Parametry!$C$13+140-2)/12),MOD(Parametry!$C$13+140-2,12)+1,Parametry!$C$11),"")</f>
        <v/>
      </c>
      <c r="C142" s="24" t="n">
        <v>140</v>
      </c>
      <c r="D142" s="25">
        <f>IF(C142&lt;=Parametry!$C$6,L141,0)</f>
        <v/>
      </c>
      <c r="E142" s="26">
        <f>IF(OR(D142&lt;=0,C142&gt;Parametry!$C$6),0,IF(C142&lt;=Parametry!$C$9+1,Parametry!$C$8,Parametry!$C$10))</f>
        <v/>
      </c>
      <c r="F142" s="25">
        <f>IF(D142&lt;=0,0,ROUND(D142*E142/12,2))</f>
        <v/>
      </c>
      <c r="G142" s="25">
        <f>IF(OR(D142&lt;=0,C142&gt;Parametry!$C$6),0,MIN(IF(C142&lt;=Parametry!$C$9+1,Parametry!$C$7,Parametry!$C$14),ROUND(D142+F142,2)))</f>
        <v/>
      </c>
      <c r="H142" s="18" t="n"/>
      <c r="I142" s="19">
        <f>IF(OR(L142&lt;=0,C142&gt;=Parametry!$C$6),0,INDEX(G:G,ROW()+1))</f>
        <v/>
      </c>
      <c r="J142" s="27">
        <f>IF(D142&lt;=0,0,MIN(G142+N(H142),ROUND(D142+F142,2)))</f>
        <v/>
      </c>
      <c r="K142" s="25">
        <f>IF(J142&lt;=0,0,ROUND(MAX(0,J142-F142),2))</f>
        <v/>
      </c>
      <c r="L142" s="27">
        <f>IF(D142&lt;=0,0,ROUND(MAX(0,D142-K142),2))</f>
        <v/>
      </c>
      <c r="M142" s="28">
        <f>IF(L142&lt;=0,0,IFERROR(MATCH(TRUE,INDEX(L142:L327&lt;=0,0),0),186))</f>
        <v/>
      </c>
    </row>
    <row r="143" ht="18" customHeight="1">
      <c r="A143" s="13" t="n">
        <v>141</v>
      </c>
      <c r="B143" s="14">
        <f>IF(C143&lt;=Parametry!$C$6,DATE(Parametry!$C$12+INT((Parametry!$C$13+141-2)/12),MOD(Parametry!$C$13+141-2,12)+1,Parametry!$C$11),"")</f>
        <v/>
      </c>
      <c r="C143" s="15" t="n">
        <v>141</v>
      </c>
      <c r="D143" s="16">
        <f>IF(C143&lt;=Parametry!$C$6,L142,0)</f>
        <v/>
      </c>
      <c r="E143" s="17">
        <f>IF(OR(D143&lt;=0,C143&gt;Parametry!$C$6),0,IF(C143&lt;=Parametry!$C$9+1,Parametry!$C$8,Parametry!$C$10))</f>
        <v/>
      </c>
      <c r="F143" s="16">
        <f>IF(D143&lt;=0,0,ROUND(D143*E143/12,2))</f>
        <v/>
      </c>
      <c r="G143" s="16">
        <f>IF(OR(D143&lt;=0,C143&gt;Parametry!$C$6),0,MIN(IF(C143&lt;=Parametry!$C$9+1,Parametry!$C$7,Parametry!$C$14),ROUND(D143+F143,2)))</f>
        <v/>
      </c>
      <c r="H143" s="18" t="n"/>
      <c r="I143" s="19">
        <f>IF(OR(L143&lt;=0,C143&gt;=Parametry!$C$6),0,INDEX(G:G,ROW()+1))</f>
        <v/>
      </c>
      <c r="J143" s="20">
        <f>IF(D143&lt;=0,0,MIN(G143+N(H143),ROUND(D143+F143,2)))</f>
        <v/>
      </c>
      <c r="K143" s="16">
        <f>IF(J143&lt;=0,0,ROUND(MAX(0,J143-F143),2))</f>
        <v/>
      </c>
      <c r="L143" s="20">
        <f>IF(D143&lt;=0,0,ROUND(MAX(0,D143-K143),2))</f>
        <v/>
      </c>
      <c r="M143" s="21">
        <f>IF(L143&lt;=0,0,IFERROR(MATCH(TRUE,INDEX(L143:L327&lt;=0,0),0),185))</f>
        <v/>
      </c>
    </row>
    <row r="144" ht="18" customHeight="1">
      <c r="A144" s="22" t="n">
        <v>142</v>
      </c>
      <c r="B144" s="23">
        <f>IF(C144&lt;=Parametry!$C$6,DATE(Parametry!$C$12+INT((Parametry!$C$13+142-2)/12),MOD(Parametry!$C$13+142-2,12)+1,Parametry!$C$11),"")</f>
        <v/>
      </c>
      <c r="C144" s="24" t="n">
        <v>142</v>
      </c>
      <c r="D144" s="25">
        <f>IF(C144&lt;=Parametry!$C$6,L143,0)</f>
        <v/>
      </c>
      <c r="E144" s="26">
        <f>IF(OR(D144&lt;=0,C144&gt;Parametry!$C$6),0,IF(C144&lt;=Parametry!$C$9+1,Parametry!$C$8,Parametry!$C$10))</f>
        <v/>
      </c>
      <c r="F144" s="25">
        <f>IF(D144&lt;=0,0,ROUND(D144*E144/12,2))</f>
        <v/>
      </c>
      <c r="G144" s="25">
        <f>IF(OR(D144&lt;=0,C144&gt;Parametry!$C$6),0,MIN(IF(C144&lt;=Parametry!$C$9+1,Parametry!$C$7,Parametry!$C$14),ROUND(D144+F144,2)))</f>
        <v/>
      </c>
      <c r="H144" s="18" t="n"/>
      <c r="I144" s="19">
        <f>IF(OR(L144&lt;=0,C144&gt;=Parametry!$C$6),0,INDEX(G:G,ROW()+1))</f>
        <v/>
      </c>
      <c r="J144" s="27">
        <f>IF(D144&lt;=0,0,MIN(G144+N(H144),ROUND(D144+F144,2)))</f>
        <v/>
      </c>
      <c r="K144" s="25">
        <f>IF(J144&lt;=0,0,ROUND(MAX(0,J144-F144),2))</f>
        <v/>
      </c>
      <c r="L144" s="27">
        <f>IF(D144&lt;=0,0,ROUND(MAX(0,D144-K144),2))</f>
        <v/>
      </c>
      <c r="M144" s="28">
        <f>IF(L144&lt;=0,0,IFERROR(MATCH(TRUE,INDEX(L144:L327&lt;=0,0),0),184))</f>
        <v/>
      </c>
    </row>
    <row r="145" ht="18" customHeight="1">
      <c r="A145" s="13" t="n">
        <v>143</v>
      </c>
      <c r="B145" s="14">
        <f>IF(C145&lt;=Parametry!$C$6,DATE(Parametry!$C$12+INT((Parametry!$C$13+143-2)/12),MOD(Parametry!$C$13+143-2,12)+1,Parametry!$C$11),"")</f>
        <v/>
      </c>
      <c r="C145" s="15" t="n">
        <v>143</v>
      </c>
      <c r="D145" s="16">
        <f>IF(C145&lt;=Parametry!$C$6,L144,0)</f>
        <v/>
      </c>
      <c r="E145" s="17">
        <f>IF(OR(D145&lt;=0,C145&gt;Parametry!$C$6),0,IF(C145&lt;=Parametry!$C$9+1,Parametry!$C$8,Parametry!$C$10))</f>
        <v/>
      </c>
      <c r="F145" s="16">
        <f>IF(D145&lt;=0,0,ROUND(D145*E145/12,2))</f>
        <v/>
      </c>
      <c r="G145" s="16">
        <f>IF(OR(D145&lt;=0,C145&gt;Parametry!$C$6),0,MIN(IF(C145&lt;=Parametry!$C$9+1,Parametry!$C$7,Parametry!$C$14),ROUND(D145+F145,2)))</f>
        <v/>
      </c>
      <c r="H145" s="18" t="n"/>
      <c r="I145" s="19">
        <f>IF(OR(L145&lt;=0,C145&gt;=Parametry!$C$6),0,INDEX(G:G,ROW()+1))</f>
        <v/>
      </c>
      <c r="J145" s="20">
        <f>IF(D145&lt;=0,0,MIN(G145+N(H145),ROUND(D145+F145,2)))</f>
        <v/>
      </c>
      <c r="K145" s="16">
        <f>IF(J145&lt;=0,0,ROUND(MAX(0,J145-F145),2))</f>
        <v/>
      </c>
      <c r="L145" s="20">
        <f>IF(D145&lt;=0,0,ROUND(MAX(0,D145-K145),2))</f>
        <v/>
      </c>
      <c r="M145" s="21">
        <f>IF(L145&lt;=0,0,IFERROR(MATCH(TRUE,INDEX(L145:L327&lt;=0,0),0),183))</f>
        <v/>
      </c>
    </row>
    <row r="146" ht="18" customHeight="1">
      <c r="A146" s="22" t="n">
        <v>144</v>
      </c>
      <c r="B146" s="23">
        <f>IF(C146&lt;=Parametry!$C$6,DATE(Parametry!$C$12+INT((Parametry!$C$13+144-2)/12),MOD(Parametry!$C$13+144-2,12)+1,Parametry!$C$11),"")</f>
        <v/>
      </c>
      <c r="C146" s="24" t="n">
        <v>144</v>
      </c>
      <c r="D146" s="25">
        <f>IF(C146&lt;=Parametry!$C$6,L145,0)</f>
        <v/>
      </c>
      <c r="E146" s="26">
        <f>IF(OR(D146&lt;=0,C146&gt;Parametry!$C$6),0,IF(C146&lt;=Parametry!$C$9+1,Parametry!$C$8,Parametry!$C$10))</f>
        <v/>
      </c>
      <c r="F146" s="25">
        <f>IF(D146&lt;=0,0,ROUND(D146*E146/12,2))</f>
        <v/>
      </c>
      <c r="G146" s="25">
        <f>IF(OR(D146&lt;=0,C146&gt;Parametry!$C$6),0,MIN(IF(C146&lt;=Parametry!$C$9+1,Parametry!$C$7,Parametry!$C$14),ROUND(D146+F146,2)))</f>
        <v/>
      </c>
      <c r="H146" s="18" t="n"/>
      <c r="I146" s="19">
        <f>IF(OR(L146&lt;=0,C146&gt;=Parametry!$C$6),0,INDEX(G:G,ROW()+1))</f>
        <v/>
      </c>
      <c r="J146" s="27">
        <f>IF(D146&lt;=0,0,MIN(G146+N(H146),ROUND(D146+F146,2)))</f>
        <v/>
      </c>
      <c r="K146" s="25">
        <f>IF(J146&lt;=0,0,ROUND(MAX(0,J146-F146),2))</f>
        <v/>
      </c>
      <c r="L146" s="27">
        <f>IF(D146&lt;=0,0,ROUND(MAX(0,D146-K146),2))</f>
        <v/>
      </c>
      <c r="M146" s="28">
        <f>IF(L146&lt;=0,0,IFERROR(MATCH(TRUE,INDEX(L146:L327&lt;=0,0),0),182))</f>
        <v/>
      </c>
    </row>
    <row r="147" ht="18" customHeight="1">
      <c r="A147" s="13" t="n">
        <v>145</v>
      </c>
      <c r="B147" s="14">
        <f>IF(C147&lt;=Parametry!$C$6,DATE(Parametry!$C$12+INT((Parametry!$C$13+145-2)/12),MOD(Parametry!$C$13+145-2,12)+1,Parametry!$C$11),"")</f>
        <v/>
      </c>
      <c r="C147" s="15" t="n">
        <v>145</v>
      </c>
      <c r="D147" s="16">
        <f>IF(C147&lt;=Parametry!$C$6,L146,0)</f>
        <v/>
      </c>
      <c r="E147" s="17">
        <f>IF(OR(D147&lt;=0,C147&gt;Parametry!$C$6),0,IF(C147&lt;=Parametry!$C$9+1,Parametry!$C$8,Parametry!$C$10))</f>
        <v/>
      </c>
      <c r="F147" s="16">
        <f>IF(D147&lt;=0,0,ROUND(D147*E147/12,2))</f>
        <v/>
      </c>
      <c r="G147" s="16">
        <f>IF(OR(D147&lt;=0,C147&gt;Parametry!$C$6),0,MIN(IF(C147&lt;=Parametry!$C$9+1,Parametry!$C$7,Parametry!$C$14),ROUND(D147+F147,2)))</f>
        <v/>
      </c>
      <c r="H147" s="18" t="n"/>
      <c r="I147" s="19">
        <f>IF(OR(L147&lt;=0,C147&gt;=Parametry!$C$6),0,INDEX(G:G,ROW()+1))</f>
        <v/>
      </c>
      <c r="J147" s="20">
        <f>IF(D147&lt;=0,0,MIN(G147+N(H147),ROUND(D147+F147,2)))</f>
        <v/>
      </c>
      <c r="K147" s="16">
        <f>IF(J147&lt;=0,0,ROUND(MAX(0,J147-F147),2))</f>
        <v/>
      </c>
      <c r="L147" s="20">
        <f>IF(D147&lt;=0,0,ROUND(MAX(0,D147-K147),2))</f>
        <v/>
      </c>
      <c r="M147" s="21">
        <f>IF(L147&lt;=0,0,IFERROR(MATCH(TRUE,INDEX(L147:L327&lt;=0,0),0),181))</f>
        <v/>
      </c>
    </row>
    <row r="148" ht="18" customHeight="1">
      <c r="A148" s="22" t="n">
        <v>146</v>
      </c>
      <c r="B148" s="23">
        <f>IF(C148&lt;=Parametry!$C$6,DATE(Parametry!$C$12+INT((Parametry!$C$13+146-2)/12),MOD(Parametry!$C$13+146-2,12)+1,Parametry!$C$11),"")</f>
        <v/>
      </c>
      <c r="C148" s="24" t="n">
        <v>146</v>
      </c>
      <c r="D148" s="25">
        <f>IF(C148&lt;=Parametry!$C$6,L147,0)</f>
        <v/>
      </c>
      <c r="E148" s="26">
        <f>IF(OR(D148&lt;=0,C148&gt;Parametry!$C$6),0,IF(C148&lt;=Parametry!$C$9+1,Parametry!$C$8,Parametry!$C$10))</f>
        <v/>
      </c>
      <c r="F148" s="25">
        <f>IF(D148&lt;=0,0,ROUND(D148*E148/12,2))</f>
        <v/>
      </c>
      <c r="G148" s="25">
        <f>IF(OR(D148&lt;=0,C148&gt;Parametry!$C$6),0,MIN(IF(C148&lt;=Parametry!$C$9+1,Parametry!$C$7,Parametry!$C$14),ROUND(D148+F148,2)))</f>
        <v/>
      </c>
      <c r="H148" s="18" t="n"/>
      <c r="I148" s="19">
        <f>IF(OR(L148&lt;=0,C148&gt;=Parametry!$C$6),0,INDEX(G:G,ROW()+1))</f>
        <v/>
      </c>
      <c r="J148" s="27">
        <f>IF(D148&lt;=0,0,MIN(G148+N(H148),ROUND(D148+F148,2)))</f>
        <v/>
      </c>
      <c r="K148" s="25">
        <f>IF(J148&lt;=0,0,ROUND(MAX(0,J148-F148),2))</f>
        <v/>
      </c>
      <c r="L148" s="27">
        <f>IF(D148&lt;=0,0,ROUND(MAX(0,D148-K148),2))</f>
        <v/>
      </c>
      <c r="M148" s="28">
        <f>IF(L148&lt;=0,0,IFERROR(MATCH(TRUE,INDEX(L148:L327&lt;=0,0),0),180))</f>
        <v/>
      </c>
    </row>
    <row r="149" ht="18" customHeight="1">
      <c r="A149" s="13" t="n">
        <v>147</v>
      </c>
      <c r="B149" s="14">
        <f>IF(C149&lt;=Parametry!$C$6,DATE(Parametry!$C$12+INT((Parametry!$C$13+147-2)/12),MOD(Parametry!$C$13+147-2,12)+1,Parametry!$C$11),"")</f>
        <v/>
      </c>
      <c r="C149" s="15" t="n">
        <v>147</v>
      </c>
      <c r="D149" s="16">
        <f>IF(C149&lt;=Parametry!$C$6,L148,0)</f>
        <v/>
      </c>
      <c r="E149" s="17">
        <f>IF(OR(D149&lt;=0,C149&gt;Parametry!$C$6),0,IF(C149&lt;=Parametry!$C$9+1,Parametry!$C$8,Parametry!$C$10))</f>
        <v/>
      </c>
      <c r="F149" s="16">
        <f>IF(D149&lt;=0,0,ROUND(D149*E149/12,2))</f>
        <v/>
      </c>
      <c r="G149" s="16">
        <f>IF(OR(D149&lt;=0,C149&gt;Parametry!$C$6),0,MIN(IF(C149&lt;=Parametry!$C$9+1,Parametry!$C$7,Parametry!$C$14),ROUND(D149+F149,2)))</f>
        <v/>
      </c>
      <c r="H149" s="18" t="n"/>
      <c r="I149" s="19">
        <f>IF(OR(L149&lt;=0,C149&gt;=Parametry!$C$6),0,INDEX(G:G,ROW()+1))</f>
        <v/>
      </c>
      <c r="J149" s="20">
        <f>IF(D149&lt;=0,0,MIN(G149+N(H149),ROUND(D149+F149,2)))</f>
        <v/>
      </c>
      <c r="K149" s="16">
        <f>IF(J149&lt;=0,0,ROUND(MAX(0,J149-F149),2))</f>
        <v/>
      </c>
      <c r="L149" s="20">
        <f>IF(D149&lt;=0,0,ROUND(MAX(0,D149-K149),2))</f>
        <v/>
      </c>
      <c r="M149" s="21">
        <f>IF(L149&lt;=0,0,IFERROR(MATCH(TRUE,INDEX(L149:L327&lt;=0,0),0),179))</f>
        <v/>
      </c>
    </row>
    <row r="150" ht="18" customHeight="1">
      <c r="A150" s="22" t="n">
        <v>148</v>
      </c>
      <c r="B150" s="23">
        <f>IF(C150&lt;=Parametry!$C$6,DATE(Parametry!$C$12+INT((Parametry!$C$13+148-2)/12),MOD(Parametry!$C$13+148-2,12)+1,Parametry!$C$11),"")</f>
        <v/>
      </c>
      <c r="C150" s="24" t="n">
        <v>148</v>
      </c>
      <c r="D150" s="25">
        <f>IF(C150&lt;=Parametry!$C$6,L149,0)</f>
        <v/>
      </c>
      <c r="E150" s="26">
        <f>IF(OR(D150&lt;=0,C150&gt;Parametry!$C$6),0,IF(C150&lt;=Parametry!$C$9+1,Parametry!$C$8,Parametry!$C$10))</f>
        <v/>
      </c>
      <c r="F150" s="25">
        <f>IF(D150&lt;=0,0,ROUND(D150*E150/12,2))</f>
        <v/>
      </c>
      <c r="G150" s="25">
        <f>IF(OR(D150&lt;=0,C150&gt;Parametry!$C$6),0,MIN(IF(C150&lt;=Parametry!$C$9+1,Parametry!$C$7,Parametry!$C$14),ROUND(D150+F150,2)))</f>
        <v/>
      </c>
      <c r="H150" s="18" t="n"/>
      <c r="I150" s="19">
        <f>IF(OR(L150&lt;=0,C150&gt;=Parametry!$C$6),0,INDEX(G:G,ROW()+1))</f>
        <v/>
      </c>
      <c r="J150" s="27">
        <f>IF(D150&lt;=0,0,MIN(G150+N(H150),ROUND(D150+F150,2)))</f>
        <v/>
      </c>
      <c r="K150" s="25">
        <f>IF(J150&lt;=0,0,ROUND(MAX(0,J150-F150),2))</f>
        <v/>
      </c>
      <c r="L150" s="27">
        <f>IF(D150&lt;=0,0,ROUND(MAX(0,D150-K150),2))</f>
        <v/>
      </c>
      <c r="M150" s="28">
        <f>IF(L150&lt;=0,0,IFERROR(MATCH(TRUE,INDEX(L150:L327&lt;=0,0),0),178))</f>
        <v/>
      </c>
    </row>
    <row r="151" ht="18" customHeight="1">
      <c r="A151" s="13" t="n">
        <v>149</v>
      </c>
      <c r="B151" s="14">
        <f>IF(C151&lt;=Parametry!$C$6,DATE(Parametry!$C$12+INT((Parametry!$C$13+149-2)/12),MOD(Parametry!$C$13+149-2,12)+1,Parametry!$C$11),"")</f>
        <v/>
      </c>
      <c r="C151" s="15" t="n">
        <v>149</v>
      </c>
      <c r="D151" s="16">
        <f>IF(C151&lt;=Parametry!$C$6,L150,0)</f>
        <v/>
      </c>
      <c r="E151" s="17">
        <f>IF(OR(D151&lt;=0,C151&gt;Parametry!$C$6),0,IF(C151&lt;=Parametry!$C$9+1,Parametry!$C$8,Parametry!$C$10))</f>
        <v/>
      </c>
      <c r="F151" s="16">
        <f>IF(D151&lt;=0,0,ROUND(D151*E151/12,2))</f>
        <v/>
      </c>
      <c r="G151" s="16">
        <f>IF(OR(D151&lt;=0,C151&gt;Parametry!$C$6),0,MIN(IF(C151&lt;=Parametry!$C$9+1,Parametry!$C$7,Parametry!$C$14),ROUND(D151+F151,2)))</f>
        <v/>
      </c>
      <c r="H151" s="18" t="n"/>
      <c r="I151" s="19">
        <f>IF(OR(L151&lt;=0,C151&gt;=Parametry!$C$6),0,INDEX(G:G,ROW()+1))</f>
        <v/>
      </c>
      <c r="J151" s="20">
        <f>IF(D151&lt;=0,0,MIN(G151+N(H151),ROUND(D151+F151,2)))</f>
        <v/>
      </c>
      <c r="K151" s="16">
        <f>IF(J151&lt;=0,0,ROUND(MAX(0,J151-F151),2))</f>
        <v/>
      </c>
      <c r="L151" s="20">
        <f>IF(D151&lt;=0,0,ROUND(MAX(0,D151-K151),2))</f>
        <v/>
      </c>
      <c r="M151" s="21">
        <f>IF(L151&lt;=0,0,IFERROR(MATCH(TRUE,INDEX(L151:L327&lt;=0,0),0),177))</f>
        <v/>
      </c>
    </row>
    <row r="152" ht="18" customHeight="1">
      <c r="A152" s="22" t="n">
        <v>150</v>
      </c>
      <c r="B152" s="23">
        <f>IF(C152&lt;=Parametry!$C$6,DATE(Parametry!$C$12+INT((Parametry!$C$13+150-2)/12),MOD(Parametry!$C$13+150-2,12)+1,Parametry!$C$11),"")</f>
        <v/>
      </c>
      <c r="C152" s="24" t="n">
        <v>150</v>
      </c>
      <c r="D152" s="25">
        <f>IF(C152&lt;=Parametry!$C$6,L151,0)</f>
        <v/>
      </c>
      <c r="E152" s="26">
        <f>IF(OR(D152&lt;=0,C152&gt;Parametry!$C$6),0,IF(C152&lt;=Parametry!$C$9+1,Parametry!$C$8,Parametry!$C$10))</f>
        <v/>
      </c>
      <c r="F152" s="25">
        <f>IF(D152&lt;=0,0,ROUND(D152*E152/12,2))</f>
        <v/>
      </c>
      <c r="G152" s="25">
        <f>IF(OR(D152&lt;=0,C152&gt;Parametry!$C$6),0,MIN(IF(C152&lt;=Parametry!$C$9+1,Parametry!$C$7,Parametry!$C$14),ROUND(D152+F152,2)))</f>
        <v/>
      </c>
      <c r="H152" s="18" t="n"/>
      <c r="I152" s="19">
        <f>IF(OR(L152&lt;=0,C152&gt;=Parametry!$C$6),0,INDEX(G:G,ROW()+1))</f>
        <v/>
      </c>
      <c r="J152" s="27">
        <f>IF(D152&lt;=0,0,MIN(G152+N(H152),ROUND(D152+F152,2)))</f>
        <v/>
      </c>
      <c r="K152" s="25">
        <f>IF(J152&lt;=0,0,ROUND(MAX(0,J152-F152),2))</f>
        <v/>
      </c>
      <c r="L152" s="27">
        <f>IF(D152&lt;=0,0,ROUND(MAX(0,D152-K152),2))</f>
        <v/>
      </c>
      <c r="M152" s="28">
        <f>IF(L152&lt;=0,0,IFERROR(MATCH(TRUE,INDEX(L152:L327&lt;=0,0),0),176))</f>
        <v/>
      </c>
    </row>
    <row r="153" ht="18" customHeight="1">
      <c r="A153" s="13" t="n">
        <v>151</v>
      </c>
      <c r="B153" s="14">
        <f>IF(C153&lt;=Parametry!$C$6,DATE(Parametry!$C$12+INT((Parametry!$C$13+151-2)/12),MOD(Parametry!$C$13+151-2,12)+1,Parametry!$C$11),"")</f>
        <v/>
      </c>
      <c r="C153" s="15" t="n">
        <v>151</v>
      </c>
      <c r="D153" s="16">
        <f>IF(C153&lt;=Parametry!$C$6,L152,0)</f>
        <v/>
      </c>
      <c r="E153" s="17">
        <f>IF(OR(D153&lt;=0,C153&gt;Parametry!$C$6),0,IF(C153&lt;=Parametry!$C$9+1,Parametry!$C$8,Parametry!$C$10))</f>
        <v/>
      </c>
      <c r="F153" s="16">
        <f>IF(D153&lt;=0,0,ROUND(D153*E153/12,2))</f>
        <v/>
      </c>
      <c r="G153" s="16">
        <f>IF(OR(D153&lt;=0,C153&gt;Parametry!$C$6),0,MIN(IF(C153&lt;=Parametry!$C$9+1,Parametry!$C$7,Parametry!$C$14),ROUND(D153+F153,2)))</f>
        <v/>
      </c>
      <c r="H153" s="18" t="n"/>
      <c r="I153" s="19">
        <f>IF(OR(L153&lt;=0,C153&gt;=Parametry!$C$6),0,INDEX(G:G,ROW()+1))</f>
        <v/>
      </c>
      <c r="J153" s="20">
        <f>IF(D153&lt;=0,0,MIN(G153+N(H153),ROUND(D153+F153,2)))</f>
        <v/>
      </c>
      <c r="K153" s="16">
        <f>IF(J153&lt;=0,0,ROUND(MAX(0,J153-F153),2))</f>
        <v/>
      </c>
      <c r="L153" s="20">
        <f>IF(D153&lt;=0,0,ROUND(MAX(0,D153-K153),2))</f>
        <v/>
      </c>
      <c r="M153" s="21">
        <f>IF(L153&lt;=0,0,IFERROR(MATCH(TRUE,INDEX(L153:L327&lt;=0,0),0),175))</f>
        <v/>
      </c>
    </row>
    <row r="154" ht="18" customHeight="1">
      <c r="A154" s="22" t="n">
        <v>152</v>
      </c>
      <c r="B154" s="23">
        <f>IF(C154&lt;=Parametry!$C$6,DATE(Parametry!$C$12+INT((Parametry!$C$13+152-2)/12),MOD(Parametry!$C$13+152-2,12)+1,Parametry!$C$11),"")</f>
        <v/>
      </c>
      <c r="C154" s="24" t="n">
        <v>152</v>
      </c>
      <c r="D154" s="25">
        <f>IF(C154&lt;=Parametry!$C$6,L153,0)</f>
        <v/>
      </c>
      <c r="E154" s="26">
        <f>IF(OR(D154&lt;=0,C154&gt;Parametry!$C$6),0,IF(C154&lt;=Parametry!$C$9+1,Parametry!$C$8,Parametry!$C$10))</f>
        <v/>
      </c>
      <c r="F154" s="25">
        <f>IF(D154&lt;=0,0,ROUND(D154*E154/12,2))</f>
        <v/>
      </c>
      <c r="G154" s="25">
        <f>IF(OR(D154&lt;=0,C154&gt;Parametry!$C$6),0,MIN(IF(C154&lt;=Parametry!$C$9+1,Parametry!$C$7,Parametry!$C$14),ROUND(D154+F154,2)))</f>
        <v/>
      </c>
      <c r="H154" s="18" t="n"/>
      <c r="I154" s="19">
        <f>IF(OR(L154&lt;=0,C154&gt;=Parametry!$C$6),0,INDEX(G:G,ROW()+1))</f>
        <v/>
      </c>
      <c r="J154" s="27">
        <f>IF(D154&lt;=0,0,MIN(G154+N(H154),ROUND(D154+F154,2)))</f>
        <v/>
      </c>
      <c r="K154" s="25">
        <f>IF(J154&lt;=0,0,ROUND(MAX(0,J154-F154),2))</f>
        <v/>
      </c>
      <c r="L154" s="27">
        <f>IF(D154&lt;=0,0,ROUND(MAX(0,D154-K154),2))</f>
        <v/>
      </c>
      <c r="M154" s="28">
        <f>IF(L154&lt;=0,0,IFERROR(MATCH(TRUE,INDEX(L154:L327&lt;=0,0),0),174))</f>
        <v/>
      </c>
    </row>
    <row r="155" ht="18" customHeight="1">
      <c r="A155" s="13" t="n">
        <v>153</v>
      </c>
      <c r="B155" s="14">
        <f>IF(C155&lt;=Parametry!$C$6,DATE(Parametry!$C$12+INT((Parametry!$C$13+153-2)/12),MOD(Parametry!$C$13+153-2,12)+1,Parametry!$C$11),"")</f>
        <v/>
      </c>
      <c r="C155" s="15" t="n">
        <v>153</v>
      </c>
      <c r="D155" s="16">
        <f>IF(C155&lt;=Parametry!$C$6,L154,0)</f>
        <v/>
      </c>
      <c r="E155" s="17">
        <f>IF(OR(D155&lt;=0,C155&gt;Parametry!$C$6),0,IF(C155&lt;=Parametry!$C$9+1,Parametry!$C$8,Parametry!$C$10))</f>
        <v/>
      </c>
      <c r="F155" s="16">
        <f>IF(D155&lt;=0,0,ROUND(D155*E155/12,2))</f>
        <v/>
      </c>
      <c r="G155" s="16">
        <f>IF(OR(D155&lt;=0,C155&gt;Parametry!$C$6),0,MIN(IF(C155&lt;=Parametry!$C$9+1,Parametry!$C$7,Parametry!$C$14),ROUND(D155+F155,2)))</f>
        <v/>
      </c>
      <c r="H155" s="18" t="n"/>
      <c r="I155" s="19">
        <f>IF(OR(L155&lt;=0,C155&gt;=Parametry!$C$6),0,INDEX(G:G,ROW()+1))</f>
        <v/>
      </c>
      <c r="J155" s="20">
        <f>IF(D155&lt;=0,0,MIN(G155+N(H155),ROUND(D155+F155,2)))</f>
        <v/>
      </c>
      <c r="K155" s="16">
        <f>IF(J155&lt;=0,0,ROUND(MAX(0,J155-F155),2))</f>
        <v/>
      </c>
      <c r="L155" s="20">
        <f>IF(D155&lt;=0,0,ROUND(MAX(0,D155-K155),2))</f>
        <v/>
      </c>
      <c r="M155" s="21">
        <f>IF(L155&lt;=0,0,IFERROR(MATCH(TRUE,INDEX(L155:L327&lt;=0,0),0),173))</f>
        <v/>
      </c>
    </row>
    <row r="156" ht="18" customHeight="1">
      <c r="A156" s="22" t="n">
        <v>154</v>
      </c>
      <c r="B156" s="23">
        <f>IF(C156&lt;=Parametry!$C$6,DATE(Parametry!$C$12+INT((Parametry!$C$13+154-2)/12),MOD(Parametry!$C$13+154-2,12)+1,Parametry!$C$11),"")</f>
        <v/>
      </c>
      <c r="C156" s="24" t="n">
        <v>154</v>
      </c>
      <c r="D156" s="25">
        <f>IF(C156&lt;=Parametry!$C$6,L155,0)</f>
        <v/>
      </c>
      <c r="E156" s="26">
        <f>IF(OR(D156&lt;=0,C156&gt;Parametry!$C$6),0,IF(C156&lt;=Parametry!$C$9+1,Parametry!$C$8,Parametry!$C$10))</f>
        <v/>
      </c>
      <c r="F156" s="25">
        <f>IF(D156&lt;=0,0,ROUND(D156*E156/12,2))</f>
        <v/>
      </c>
      <c r="G156" s="25">
        <f>IF(OR(D156&lt;=0,C156&gt;Parametry!$C$6),0,MIN(IF(C156&lt;=Parametry!$C$9+1,Parametry!$C$7,Parametry!$C$14),ROUND(D156+F156,2)))</f>
        <v/>
      </c>
      <c r="H156" s="18" t="n"/>
      <c r="I156" s="19">
        <f>IF(OR(L156&lt;=0,C156&gt;=Parametry!$C$6),0,INDEX(G:G,ROW()+1))</f>
        <v/>
      </c>
      <c r="J156" s="27">
        <f>IF(D156&lt;=0,0,MIN(G156+N(H156),ROUND(D156+F156,2)))</f>
        <v/>
      </c>
      <c r="K156" s="25">
        <f>IF(J156&lt;=0,0,ROUND(MAX(0,J156-F156),2))</f>
        <v/>
      </c>
      <c r="L156" s="27">
        <f>IF(D156&lt;=0,0,ROUND(MAX(0,D156-K156),2))</f>
        <v/>
      </c>
      <c r="M156" s="28">
        <f>IF(L156&lt;=0,0,IFERROR(MATCH(TRUE,INDEX(L156:L327&lt;=0,0),0),172))</f>
        <v/>
      </c>
    </row>
    <row r="157" ht="18" customHeight="1">
      <c r="A157" s="13" t="n">
        <v>155</v>
      </c>
      <c r="B157" s="14">
        <f>IF(C157&lt;=Parametry!$C$6,DATE(Parametry!$C$12+INT((Parametry!$C$13+155-2)/12),MOD(Parametry!$C$13+155-2,12)+1,Parametry!$C$11),"")</f>
        <v/>
      </c>
      <c r="C157" s="15" t="n">
        <v>155</v>
      </c>
      <c r="D157" s="16">
        <f>IF(C157&lt;=Parametry!$C$6,L156,0)</f>
        <v/>
      </c>
      <c r="E157" s="17">
        <f>IF(OR(D157&lt;=0,C157&gt;Parametry!$C$6),0,IF(C157&lt;=Parametry!$C$9+1,Parametry!$C$8,Parametry!$C$10))</f>
        <v/>
      </c>
      <c r="F157" s="16">
        <f>IF(D157&lt;=0,0,ROUND(D157*E157/12,2))</f>
        <v/>
      </c>
      <c r="G157" s="16">
        <f>IF(OR(D157&lt;=0,C157&gt;Parametry!$C$6),0,MIN(IF(C157&lt;=Parametry!$C$9+1,Parametry!$C$7,Parametry!$C$14),ROUND(D157+F157,2)))</f>
        <v/>
      </c>
      <c r="H157" s="18" t="n"/>
      <c r="I157" s="19">
        <f>IF(OR(L157&lt;=0,C157&gt;=Parametry!$C$6),0,INDEX(G:G,ROW()+1))</f>
        <v/>
      </c>
      <c r="J157" s="20">
        <f>IF(D157&lt;=0,0,MIN(G157+N(H157),ROUND(D157+F157,2)))</f>
        <v/>
      </c>
      <c r="K157" s="16">
        <f>IF(J157&lt;=0,0,ROUND(MAX(0,J157-F157),2))</f>
        <v/>
      </c>
      <c r="L157" s="20">
        <f>IF(D157&lt;=0,0,ROUND(MAX(0,D157-K157),2))</f>
        <v/>
      </c>
      <c r="M157" s="21">
        <f>IF(L157&lt;=0,0,IFERROR(MATCH(TRUE,INDEX(L157:L327&lt;=0,0),0),171))</f>
        <v/>
      </c>
    </row>
    <row r="158" ht="18" customHeight="1">
      <c r="A158" s="22" t="n">
        <v>156</v>
      </c>
      <c r="B158" s="23">
        <f>IF(C158&lt;=Parametry!$C$6,DATE(Parametry!$C$12+INT((Parametry!$C$13+156-2)/12),MOD(Parametry!$C$13+156-2,12)+1,Parametry!$C$11),"")</f>
        <v/>
      </c>
      <c r="C158" s="24" t="n">
        <v>156</v>
      </c>
      <c r="D158" s="25">
        <f>IF(C158&lt;=Parametry!$C$6,L157,0)</f>
        <v/>
      </c>
      <c r="E158" s="26">
        <f>IF(OR(D158&lt;=0,C158&gt;Parametry!$C$6),0,IF(C158&lt;=Parametry!$C$9+1,Parametry!$C$8,Parametry!$C$10))</f>
        <v/>
      </c>
      <c r="F158" s="25">
        <f>IF(D158&lt;=0,0,ROUND(D158*E158/12,2))</f>
        <v/>
      </c>
      <c r="G158" s="25">
        <f>IF(OR(D158&lt;=0,C158&gt;Parametry!$C$6),0,MIN(IF(C158&lt;=Parametry!$C$9+1,Parametry!$C$7,Parametry!$C$14),ROUND(D158+F158,2)))</f>
        <v/>
      </c>
      <c r="H158" s="18" t="n"/>
      <c r="I158" s="19">
        <f>IF(OR(L158&lt;=0,C158&gt;=Parametry!$C$6),0,INDEX(G:G,ROW()+1))</f>
        <v/>
      </c>
      <c r="J158" s="27">
        <f>IF(D158&lt;=0,0,MIN(G158+N(H158),ROUND(D158+F158,2)))</f>
        <v/>
      </c>
      <c r="K158" s="25">
        <f>IF(J158&lt;=0,0,ROUND(MAX(0,J158-F158),2))</f>
        <v/>
      </c>
      <c r="L158" s="27">
        <f>IF(D158&lt;=0,0,ROUND(MAX(0,D158-K158),2))</f>
        <v/>
      </c>
      <c r="M158" s="28">
        <f>IF(L158&lt;=0,0,IFERROR(MATCH(TRUE,INDEX(L158:L327&lt;=0,0),0),170))</f>
        <v/>
      </c>
    </row>
    <row r="159" ht="18" customHeight="1">
      <c r="A159" s="13" t="n">
        <v>157</v>
      </c>
      <c r="B159" s="14">
        <f>IF(C159&lt;=Parametry!$C$6,DATE(Parametry!$C$12+INT((Parametry!$C$13+157-2)/12),MOD(Parametry!$C$13+157-2,12)+1,Parametry!$C$11),"")</f>
        <v/>
      </c>
      <c r="C159" s="15" t="n">
        <v>157</v>
      </c>
      <c r="D159" s="16">
        <f>IF(C159&lt;=Parametry!$C$6,L158,0)</f>
        <v/>
      </c>
      <c r="E159" s="17">
        <f>IF(OR(D159&lt;=0,C159&gt;Parametry!$C$6),0,IF(C159&lt;=Parametry!$C$9+1,Parametry!$C$8,Parametry!$C$10))</f>
        <v/>
      </c>
      <c r="F159" s="16">
        <f>IF(D159&lt;=0,0,ROUND(D159*E159/12,2))</f>
        <v/>
      </c>
      <c r="G159" s="16">
        <f>IF(OR(D159&lt;=0,C159&gt;Parametry!$C$6),0,MIN(IF(C159&lt;=Parametry!$C$9+1,Parametry!$C$7,Parametry!$C$14),ROUND(D159+F159,2)))</f>
        <v/>
      </c>
      <c r="H159" s="18" t="n"/>
      <c r="I159" s="19">
        <f>IF(OR(L159&lt;=0,C159&gt;=Parametry!$C$6),0,INDEX(G:G,ROW()+1))</f>
        <v/>
      </c>
      <c r="J159" s="20">
        <f>IF(D159&lt;=0,0,MIN(G159+N(H159),ROUND(D159+F159,2)))</f>
        <v/>
      </c>
      <c r="K159" s="16">
        <f>IF(J159&lt;=0,0,ROUND(MAX(0,J159-F159),2))</f>
        <v/>
      </c>
      <c r="L159" s="20">
        <f>IF(D159&lt;=0,0,ROUND(MAX(0,D159-K159),2))</f>
        <v/>
      </c>
      <c r="M159" s="21">
        <f>IF(L159&lt;=0,0,IFERROR(MATCH(TRUE,INDEX(L159:L327&lt;=0,0),0),169))</f>
        <v/>
      </c>
    </row>
    <row r="160" ht="18" customHeight="1">
      <c r="A160" s="22" t="n">
        <v>158</v>
      </c>
      <c r="B160" s="23">
        <f>IF(C160&lt;=Parametry!$C$6,DATE(Parametry!$C$12+INT((Parametry!$C$13+158-2)/12),MOD(Parametry!$C$13+158-2,12)+1,Parametry!$C$11),"")</f>
        <v/>
      </c>
      <c r="C160" s="24" t="n">
        <v>158</v>
      </c>
      <c r="D160" s="25">
        <f>IF(C160&lt;=Parametry!$C$6,L159,0)</f>
        <v/>
      </c>
      <c r="E160" s="26">
        <f>IF(OR(D160&lt;=0,C160&gt;Parametry!$C$6),0,IF(C160&lt;=Parametry!$C$9+1,Parametry!$C$8,Parametry!$C$10))</f>
        <v/>
      </c>
      <c r="F160" s="25">
        <f>IF(D160&lt;=0,0,ROUND(D160*E160/12,2))</f>
        <v/>
      </c>
      <c r="G160" s="25">
        <f>IF(OR(D160&lt;=0,C160&gt;Parametry!$C$6),0,MIN(IF(C160&lt;=Parametry!$C$9+1,Parametry!$C$7,Parametry!$C$14),ROUND(D160+F160,2)))</f>
        <v/>
      </c>
      <c r="H160" s="18" t="n"/>
      <c r="I160" s="19">
        <f>IF(OR(L160&lt;=0,C160&gt;=Parametry!$C$6),0,INDEX(G:G,ROW()+1))</f>
        <v/>
      </c>
      <c r="J160" s="27">
        <f>IF(D160&lt;=0,0,MIN(G160+N(H160),ROUND(D160+F160,2)))</f>
        <v/>
      </c>
      <c r="K160" s="25">
        <f>IF(J160&lt;=0,0,ROUND(MAX(0,J160-F160),2))</f>
        <v/>
      </c>
      <c r="L160" s="27">
        <f>IF(D160&lt;=0,0,ROUND(MAX(0,D160-K160),2))</f>
        <v/>
      </c>
      <c r="M160" s="28">
        <f>IF(L160&lt;=0,0,IFERROR(MATCH(TRUE,INDEX(L160:L327&lt;=0,0),0),168))</f>
        <v/>
      </c>
    </row>
    <row r="161" ht="18" customHeight="1">
      <c r="A161" s="13" t="n">
        <v>159</v>
      </c>
      <c r="B161" s="14">
        <f>IF(C161&lt;=Parametry!$C$6,DATE(Parametry!$C$12+INT((Parametry!$C$13+159-2)/12),MOD(Parametry!$C$13+159-2,12)+1,Parametry!$C$11),"")</f>
        <v/>
      </c>
      <c r="C161" s="15" t="n">
        <v>159</v>
      </c>
      <c r="D161" s="16">
        <f>IF(C161&lt;=Parametry!$C$6,L160,0)</f>
        <v/>
      </c>
      <c r="E161" s="17">
        <f>IF(OR(D161&lt;=0,C161&gt;Parametry!$C$6),0,IF(C161&lt;=Parametry!$C$9+1,Parametry!$C$8,Parametry!$C$10))</f>
        <v/>
      </c>
      <c r="F161" s="16">
        <f>IF(D161&lt;=0,0,ROUND(D161*E161/12,2))</f>
        <v/>
      </c>
      <c r="G161" s="16">
        <f>IF(OR(D161&lt;=0,C161&gt;Parametry!$C$6),0,MIN(IF(C161&lt;=Parametry!$C$9+1,Parametry!$C$7,Parametry!$C$14),ROUND(D161+F161,2)))</f>
        <v/>
      </c>
      <c r="H161" s="18" t="n"/>
      <c r="I161" s="19">
        <f>IF(OR(L161&lt;=0,C161&gt;=Parametry!$C$6),0,INDEX(G:G,ROW()+1))</f>
        <v/>
      </c>
      <c r="J161" s="20">
        <f>IF(D161&lt;=0,0,MIN(G161+N(H161),ROUND(D161+F161,2)))</f>
        <v/>
      </c>
      <c r="K161" s="16">
        <f>IF(J161&lt;=0,0,ROUND(MAX(0,J161-F161),2))</f>
        <v/>
      </c>
      <c r="L161" s="20">
        <f>IF(D161&lt;=0,0,ROUND(MAX(0,D161-K161),2))</f>
        <v/>
      </c>
      <c r="M161" s="21">
        <f>IF(L161&lt;=0,0,IFERROR(MATCH(TRUE,INDEX(L161:L327&lt;=0,0),0),167))</f>
        <v/>
      </c>
    </row>
    <row r="162" ht="18" customHeight="1">
      <c r="A162" s="22" t="n">
        <v>160</v>
      </c>
      <c r="B162" s="23">
        <f>IF(C162&lt;=Parametry!$C$6,DATE(Parametry!$C$12+INT((Parametry!$C$13+160-2)/12),MOD(Parametry!$C$13+160-2,12)+1,Parametry!$C$11),"")</f>
        <v/>
      </c>
      <c r="C162" s="24" t="n">
        <v>160</v>
      </c>
      <c r="D162" s="25">
        <f>IF(C162&lt;=Parametry!$C$6,L161,0)</f>
        <v/>
      </c>
      <c r="E162" s="26">
        <f>IF(OR(D162&lt;=0,C162&gt;Parametry!$C$6),0,IF(C162&lt;=Parametry!$C$9+1,Parametry!$C$8,Parametry!$C$10))</f>
        <v/>
      </c>
      <c r="F162" s="25">
        <f>IF(D162&lt;=0,0,ROUND(D162*E162/12,2))</f>
        <v/>
      </c>
      <c r="G162" s="25">
        <f>IF(OR(D162&lt;=0,C162&gt;Parametry!$C$6),0,MIN(IF(C162&lt;=Parametry!$C$9+1,Parametry!$C$7,Parametry!$C$14),ROUND(D162+F162,2)))</f>
        <v/>
      </c>
      <c r="H162" s="18" t="n"/>
      <c r="I162" s="19">
        <f>IF(OR(L162&lt;=0,C162&gt;=Parametry!$C$6),0,INDEX(G:G,ROW()+1))</f>
        <v/>
      </c>
      <c r="J162" s="27">
        <f>IF(D162&lt;=0,0,MIN(G162+N(H162),ROUND(D162+F162,2)))</f>
        <v/>
      </c>
      <c r="K162" s="25">
        <f>IF(J162&lt;=0,0,ROUND(MAX(0,J162-F162),2))</f>
        <v/>
      </c>
      <c r="L162" s="27">
        <f>IF(D162&lt;=0,0,ROUND(MAX(0,D162-K162),2))</f>
        <v/>
      </c>
      <c r="M162" s="28">
        <f>IF(L162&lt;=0,0,IFERROR(MATCH(TRUE,INDEX(L162:L327&lt;=0,0),0),166))</f>
        <v/>
      </c>
    </row>
    <row r="163" ht="18" customHeight="1">
      <c r="A163" s="13" t="n">
        <v>161</v>
      </c>
      <c r="B163" s="14">
        <f>IF(C163&lt;=Parametry!$C$6,DATE(Parametry!$C$12+INT((Parametry!$C$13+161-2)/12),MOD(Parametry!$C$13+161-2,12)+1,Parametry!$C$11),"")</f>
        <v/>
      </c>
      <c r="C163" s="15" t="n">
        <v>161</v>
      </c>
      <c r="D163" s="16">
        <f>IF(C163&lt;=Parametry!$C$6,L162,0)</f>
        <v/>
      </c>
      <c r="E163" s="17">
        <f>IF(OR(D163&lt;=0,C163&gt;Parametry!$C$6),0,IF(C163&lt;=Parametry!$C$9+1,Parametry!$C$8,Parametry!$C$10))</f>
        <v/>
      </c>
      <c r="F163" s="16">
        <f>IF(D163&lt;=0,0,ROUND(D163*E163/12,2))</f>
        <v/>
      </c>
      <c r="G163" s="16">
        <f>IF(OR(D163&lt;=0,C163&gt;Parametry!$C$6),0,MIN(IF(C163&lt;=Parametry!$C$9+1,Parametry!$C$7,Parametry!$C$14),ROUND(D163+F163,2)))</f>
        <v/>
      </c>
      <c r="H163" s="18" t="n"/>
      <c r="I163" s="19">
        <f>IF(OR(L163&lt;=0,C163&gt;=Parametry!$C$6),0,INDEX(G:G,ROW()+1))</f>
        <v/>
      </c>
      <c r="J163" s="20">
        <f>IF(D163&lt;=0,0,MIN(G163+N(H163),ROUND(D163+F163,2)))</f>
        <v/>
      </c>
      <c r="K163" s="16">
        <f>IF(J163&lt;=0,0,ROUND(MAX(0,J163-F163),2))</f>
        <v/>
      </c>
      <c r="L163" s="20">
        <f>IF(D163&lt;=0,0,ROUND(MAX(0,D163-K163),2))</f>
        <v/>
      </c>
      <c r="M163" s="21">
        <f>IF(L163&lt;=0,0,IFERROR(MATCH(TRUE,INDEX(L163:L327&lt;=0,0),0),165))</f>
        <v/>
      </c>
    </row>
    <row r="164" ht="18" customHeight="1">
      <c r="A164" s="22" t="n">
        <v>162</v>
      </c>
      <c r="B164" s="23">
        <f>IF(C164&lt;=Parametry!$C$6,DATE(Parametry!$C$12+INT((Parametry!$C$13+162-2)/12),MOD(Parametry!$C$13+162-2,12)+1,Parametry!$C$11),"")</f>
        <v/>
      </c>
      <c r="C164" s="24" t="n">
        <v>162</v>
      </c>
      <c r="D164" s="25">
        <f>IF(C164&lt;=Parametry!$C$6,L163,0)</f>
        <v/>
      </c>
      <c r="E164" s="26">
        <f>IF(OR(D164&lt;=0,C164&gt;Parametry!$C$6),0,IF(C164&lt;=Parametry!$C$9+1,Parametry!$C$8,Parametry!$C$10))</f>
        <v/>
      </c>
      <c r="F164" s="25">
        <f>IF(D164&lt;=0,0,ROUND(D164*E164/12,2))</f>
        <v/>
      </c>
      <c r="G164" s="25">
        <f>IF(OR(D164&lt;=0,C164&gt;Parametry!$C$6),0,MIN(IF(C164&lt;=Parametry!$C$9+1,Parametry!$C$7,Parametry!$C$14),ROUND(D164+F164,2)))</f>
        <v/>
      </c>
      <c r="H164" s="18" t="n"/>
      <c r="I164" s="19">
        <f>IF(OR(L164&lt;=0,C164&gt;=Parametry!$C$6),0,INDEX(G:G,ROW()+1))</f>
        <v/>
      </c>
      <c r="J164" s="27">
        <f>IF(D164&lt;=0,0,MIN(G164+N(H164),ROUND(D164+F164,2)))</f>
        <v/>
      </c>
      <c r="K164" s="25">
        <f>IF(J164&lt;=0,0,ROUND(MAX(0,J164-F164),2))</f>
        <v/>
      </c>
      <c r="L164" s="27">
        <f>IF(D164&lt;=0,0,ROUND(MAX(0,D164-K164),2))</f>
        <v/>
      </c>
      <c r="M164" s="28">
        <f>IF(L164&lt;=0,0,IFERROR(MATCH(TRUE,INDEX(L164:L327&lt;=0,0),0),164))</f>
        <v/>
      </c>
    </row>
    <row r="165" ht="18" customHeight="1">
      <c r="A165" s="13" t="n">
        <v>163</v>
      </c>
      <c r="B165" s="14">
        <f>IF(C165&lt;=Parametry!$C$6,DATE(Parametry!$C$12+INT((Parametry!$C$13+163-2)/12),MOD(Parametry!$C$13+163-2,12)+1,Parametry!$C$11),"")</f>
        <v/>
      </c>
      <c r="C165" s="15" t="n">
        <v>163</v>
      </c>
      <c r="D165" s="16">
        <f>IF(C165&lt;=Parametry!$C$6,L164,0)</f>
        <v/>
      </c>
      <c r="E165" s="17">
        <f>IF(OR(D165&lt;=0,C165&gt;Parametry!$C$6),0,IF(C165&lt;=Parametry!$C$9+1,Parametry!$C$8,Parametry!$C$10))</f>
        <v/>
      </c>
      <c r="F165" s="16">
        <f>IF(D165&lt;=0,0,ROUND(D165*E165/12,2))</f>
        <v/>
      </c>
      <c r="G165" s="16">
        <f>IF(OR(D165&lt;=0,C165&gt;Parametry!$C$6),0,MIN(IF(C165&lt;=Parametry!$C$9+1,Parametry!$C$7,Parametry!$C$14),ROUND(D165+F165,2)))</f>
        <v/>
      </c>
      <c r="H165" s="18" t="n"/>
      <c r="I165" s="19">
        <f>IF(OR(L165&lt;=0,C165&gt;=Parametry!$C$6),0,INDEX(G:G,ROW()+1))</f>
        <v/>
      </c>
      <c r="J165" s="20">
        <f>IF(D165&lt;=0,0,MIN(G165+N(H165),ROUND(D165+F165,2)))</f>
        <v/>
      </c>
      <c r="K165" s="16">
        <f>IF(J165&lt;=0,0,ROUND(MAX(0,J165-F165),2))</f>
        <v/>
      </c>
      <c r="L165" s="20">
        <f>IF(D165&lt;=0,0,ROUND(MAX(0,D165-K165),2))</f>
        <v/>
      </c>
      <c r="M165" s="21">
        <f>IF(L165&lt;=0,0,IFERROR(MATCH(TRUE,INDEX(L165:L327&lt;=0,0),0),163))</f>
        <v/>
      </c>
    </row>
    <row r="166" ht="18" customHeight="1">
      <c r="A166" s="22" t="n">
        <v>164</v>
      </c>
      <c r="B166" s="23">
        <f>IF(C166&lt;=Parametry!$C$6,DATE(Parametry!$C$12+INT((Parametry!$C$13+164-2)/12),MOD(Parametry!$C$13+164-2,12)+1,Parametry!$C$11),"")</f>
        <v/>
      </c>
      <c r="C166" s="24" t="n">
        <v>164</v>
      </c>
      <c r="D166" s="25">
        <f>IF(C166&lt;=Parametry!$C$6,L165,0)</f>
        <v/>
      </c>
      <c r="E166" s="26">
        <f>IF(OR(D166&lt;=0,C166&gt;Parametry!$C$6),0,IF(C166&lt;=Parametry!$C$9+1,Parametry!$C$8,Parametry!$C$10))</f>
        <v/>
      </c>
      <c r="F166" s="25">
        <f>IF(D166&lt;=0,0,ROUND(D166*E166/12,2))</f>
        <v/>
      </c>
      <c r="G166" s="25">
        <f>IF(OR(D166&lt;=0,C166&gt;Parametry!$C$6),0,MIN(IF(C166&lt;=Parametry!$C$9+1,Parametry!$C$7,Parametry!$C$14),ROUND(D166+F166,2)))</f>
        <v/>
      </c>
      <c r="H166" s="18" t="n"/>
      <c r="I166" s="19">
        <f>IF(OR(L166&lt;=0,C166&gt;=Parametry!$C$6),0,INDEX(G:G,ROW()+1))</f>
        <v/>
      </c>
      <c r="J166" s="27">
        <f>IF(D166&lt;=0,0,MIN(G166+N(H166),ROUND(D166+F166,2)))</f>
        <v/>
      </c>
      <c r="K166" s="25">
        <f>IF(J166&lt;=0,0,ROUND(MAX(0,J166-F166),2))</f>
        <v/>
      </c>
      <c r="L166" s="27">
        <f>IF(D166&lt;=0,0,ROUND(MAX(0,D166-K166),2))</f>
        <v/>
      </c>
      <c r="M166" s="28">
        <f>IF(L166&lt;=0,0,IFERROR(MATCH(TRUE,INDEX(L166:L327&lt;=0,0),0),162))</f>
        <v/>
      </c>
    </row>
    <row r="167" ht="18" customHeight="1">
      <c r="A167" s="13" t="n">
        <v>165</v>
      </c>
      <c r="B167" s="14">
        <f>IF(C167&lt;=Parametry!$C$6,DATE(Parametry!$C$12+INT((Parametry!$C$13+165-2)/12),MOD(Parametry!$C$13+165-2,12)+1,Parametry!$C$11),"")</f>
        <v/>
      </c>
      <c r="C167" s="15" t="n">
        <v>165</v>
      </c>
      <c r="D167" s="16">
        <f>IF(C167&lt;=Parametry!$C$6,L166,0)</f>
        <v/>
      </c>
      <c r="E167" s="17">
        <f>IF(OR(D167&lt;=0,C167&gt;Parametry!$C$6),0,IF(C167&lt;=Parametry!$C$9+1,Parametry!$C$8,Parametry!$C$10))</f>
        <v/>
      </c>
      <c r="F167" s="16">
        <f>IF(D167&lt;=0,0,ROUND(D167*E167/12,2))</f>
        <v/>
      </c>
      <c r="G167" s="16">
        <f>IF(OR(D167&lt;=0,C167&gt;Parametry!$C$6),0,MIN(IF(C167&lt;=Parametry!$C$9+1,Parametry!$C$7,Parametry!$C$14),ROUND(D167+F167,2)))</f>
        <v/>
      </c>
      <c r="H167" s="18" t="n"/>
      <c r="I167" s="19">
        <f>IF(OR(L167&lt;=0,C167&gt;=Parametry!$C$6),0,INDEX(G:G,ROW()+1))</f>
        <v/>
      </c>
      <c r="J167" s="20">
        <f>IF(D167&lt;=0,0,MIN(G167+N(H167),ROUND(D167+F167,2)))</f>
        <v/>
      </c>
      <c r="K167" s="16">
        <f>IF(J167&lt;=0,0,ROUND(MAX(0,J167-F167),2))</f>
        <v/>
      </c>
      <c r="L167" s="20">
        <f>IF(D167&lt;=0,0,ROUND(MAX(0,D167-K167),2))</f>
        <v/>
      </c>
      <c r="M167" s="21">
        <f>IF(L167&lt;=0,0,IFERROR(MATCH(TRUE,INDEX(L167:L327&lt;=0,0),0),161))</f>
        <v/>
      </c>
    </row>
    <row r="168" ht="18" customHeight="1">
      <c r="A168" s="22" t="n">
        <v>166</v>
      </c>
      <c r="B168" s="23">
        <f>IF(C168&lt;=Parametry!$C$6,DATE(Parametry!$C$12+INT((Parametry!$C$13+166-2)/12),MOD(Parametry!$C$13+166-2,12)+1,Parametry!$C$11),"")</f>
        <v/>
      </c>
      <c r="C168" s="24" t="n">
        <v>166</v>
      </c>
      <c r="D168" s="25">
        <f>IF(C168&lt;=Parametry!$C$6,L167,0)</f>
        <v/>
      </c>
      <c r="E168" s="26">
        <f>IF(OR(D168&lt;=0,C168&gt;Parametry!$C$6),0,IF(C168&lt;=Parametry!$C$9+1,Parametry!$C$8,Parametry!$C$10))</f>
        <v/>
      </c>
      <c r="F168" s="25">
        <f>IF(D168&lt;=0,0,ROUND(D168*E168/12,2))</f>
        <v/>
      </c>
      <c r="G168" s="25">
        <f>IF(OR(D168&lt;=0,C168&gt;Parametry!$C$6),0,MIN(IF(C168&lt;=Parametry!$C$9+1,Parametry!$C$7,Parametry!$C$14),ROUND(D168+F168,2)))</f>
        <v/>
      </c>
      <c r="H168" s="18" t="n"/>
      <c r="I168" s="19">
        <f>IF(OR(L168&lt;=0,C168&gt;=Parametry!$C$6),0,INDEX(G:G,ROW()+1))</f>
        <v/>
      </c>
      <c r="J168" s="27">
        <f>IF(D168&lt;=0,0,MIN(G168+N(H168),ROUND(D168+F168,2)))</f>
        <v/>
      </c>
      <c r="K168" s="25">
        <f>IF(J168&lt;=0,0,ROUND(MAX(0,J168-F168),2))</f>
        <v/>
      </c>
      <c r="L168" s="27">
        <f>IF(D168&lt;=0,0,ROUND(MAX(0,D168-K168),2))</f>
        <v/>
      </c>
      <c r="M168" s="28">
        <f>IF(L168&lt;=0,0,IFERROR(MATCH(TRUE,INDEX(L168:L327&lt;=0,0),0),160))</f>
        <v/>
      </c>
    </row>
    <row r="169" ht="18" customHeight="1">
      <c r="A169" s="13" t="n">
        <v>167</v>
      </c>
      <c r="B169" s="14">
        <f>IF(C169&lt;=Parametry!$C$6,DATE(Parametry!$C$12+INT((Parametry!$C$13+167-2)/12),MOD(Parametry!$C$13+167-2,12)+1,Parametry!$C$11),"")</f>
        <v/>
      </c>
      <c r="C169" s="15" t="n">
        <v>167</v>
      </c>
      <c r="D169" s="16">
        <f>IF(C169&lt;=Parametry!$C$6,L168,0)</f>
        <v/>
      </c>
      <c r="E169" s="17">
        <f>IF(OR(D169&lt;=0,C169&gt;Parametry!$C$6),0,IF(C169&lt;=Parametry!$C$9+1,Parametry!$C$8,Parametry!$C$10))</f>
        <v/>
      </c>
      <c r="F169" s="16">
        <f>IF(D169&lt;=0,0,ROUND(D169*E169/12,2))</f>
        <v/>
      </c>
      <c r="G169" s="16">
        <f>IF(OR(D169&lt;=0,C169&gt;Parametry!$C$6),0,MIN(IF(C169&lt;=Parametry!$C$9+1,Parametry!$C$7,Parametry!$C$14),ROUND(D169+F169,2)))</f>
        <v/>
      </c>
      <c r="H169" s="18" t="n"/>
      <c r="I169" s="19">
        <f>IF(OR(L169&lt;=0,C169&gt;=Parametry!$C$6),0,INDEX(G:G,ROW()+1))</f>
        <v/>
      </c>
      <c r="J169" s="20">
        <f>IF(D169&lt;=0,0,MIN(G169+N(H169),ROUND(D169+F169,2)))</f>
        <v/>
      </c>
      <c r="K169" s="16">
        <f>IF(J169&lt;=0,0,ROUND(MAX(0,J169-F169),2))</f>
        <v/>
      </c>
      <c r="L169" s="20">
        <f>IF(D169&lt;=0,0,ROUND(MAX(0,D169-K169),2))</f>
        <v/>
      </c>
      <c r="M169" s="21">
        <f>IF(L169&lt;=0,0,IFERROR(MATCH(TRUE,INDEX(L169:L327&lt;=0,0),0),159))</f>
        <v/>
      </c>
    </row>
    <row r="170" ht="18" customHeight="1">
      <c r="A170" s="22" t="n">
        <v>168</v>
      </c>
      <c r="B170" s="23">
        <f>IF(C170&lt;=Parametry!$C$6,DATE(Parametry!$C$12+INT((Parametry!$C$13+168-2)/12),MOD(Parametry!$C$13+168-2,12)+1,Parametry!$C$11),"")</f>
        <v/>
      </c>
      <c r="C170" s="24" t="n">
        <v>168</v>
      </c>
      <c r="D170" s="25">
        <f>IF(C170&lt;=Parametry!$C$6,L169,0)</f>
        <v/>
      </c>
      <c r="E170" s="26">
        <f>IF(OR(D170&lt;=0,C170&gt;Parametry!$C$6),0,IF(C170&lt;=Parametry!$C$9+1,Parametry!$C$8,Parametry!$C$10))</f>
        <v/>
      </c>
      <c r="F170" s="25">
        <f>IF(D170&lt;=0,0,ROUND(D170*E170/12,2))</f>
        <v/>
      </c>
      <c r="G170" s="25">
        <f>IF(OR(D170&lt;=0,C170&gt;Parametry!$C$6),0,MIN(IF(C170&lt;=Parametry!$C$9+1,Parametry!$C$7,Parametry!$C$14),ROUND(D170+F170,2)))</f>
        <v/>
      </c>
      <c r="H170" s="18" t="n"/>
      <c r="I170" s="19">
        <f>IF(OR(L170&lt;=0,C170&gt;=Parametry!$C$6),0,INDEX(G:G,ROW()+1))</f>
        <v/>
      </c>
      <c r="J170" s="27">
        <f>IF(D170&lt;=0,0,MIN(G170+N(H170),ROUND(D170+F170,2)))</f>
        <v/>
      </c>
      <c r="K170" s="25">
        <f>IF(J170&lt;=0,0,ROUND(MAX(0,J170-F170),2))</f>
        <v/>
      </c>
      <c r="L170" s="27">
        <f>IF(D170&lt;=0,0,ROUND(MAX(0,D170-K170),2))</f>
        <v/>
      </c>
      <c r="M170" s="28">
        <f>IF(L170&lt;=0,0,IFERROR(MATCH(TRUE,INDEX(L170:L327&lt;=0,0),0),158))</f>
        <v/>
      </c>
    </row>
    <row r="171" ht="18" customHeight="1">
      <c r="A171" s="13" t="n">
        <v>169</v>
      </c>
      <c r="B171" s="14">
        <f>IF(C171&lt;=Parametry!$C$6,DATE(Parametry!$C$12+INT((Parametry!$C$13+169-2)/12),MOD(Parametry!$C$13+169-2,12)+1,Parametry!$C$11),"")</f>
        <v/>
      </c>
      <c r="C171" s="15" t="n">
        <v>169</v>
      </c>
      <c r="D171" s="16">
        <f>IF(C171&lt;=Parametry!$C$6,L170,0)</f>
        <v/>
      </c>
      <c r="E171" s="17">
        <f>IF(OR(D171&lt;=0,C171&gt;Parametry!$C$6),0,IF(C171&lt;=Parametry!$C$9+1,Parametry!$C$8,Parametry!$C$10))</f>
        <v/>
      </c>
      <c r="F171" s="16">
        <f>IF(D171&lt;=0,0,ROUND(D171*E171/12,2))</f>
        <v/>
      </c>
      <c r="G171" s="16">
        <f>IF(OR(D171&lt;=0,C171&gt;Parametry!$C$6),0,MIN(IF(C171&lt;=Parametry!$C$9+1,Parametry!$C$7,Parametry!$C$14),ROUND(D171+F171,2)))</f>
        <v/>
      </c>
      <c r="H171" s="18" t="n"/>
      <c r="I171" s="19">
        <f>IF(OR(L171&lt;=0,C171&gt;=Parametry!$C$6),0,INDEX(G:G,ROW()+1))</f>
        <v/>
      </c>
      <c r="J171" s="20">
        <f>IF(D171&lt;=0,0,MIN(G171+N(H171),ROUND(D171+F171,2)))</f>
        <v/>
      </c>
      <c r="K171" s="16">
        <f>IF(J171&lt;=0,0,ROUND(MAX(0,J171-F171),2))</f>
        <v/>
      </c>
      <c r="L171" s="20">
        <f>IF(D171&lt;=0,0,ROUND(MAX(0,D171-K171),2))</f>
        <v/>
      </c>
      <c r="M171" s="21">
        <f>IF(L171&lt;=0,0,IFERROR(MATCH(TRUE,INDEX(L171:L327&lt;=0,0),0),157))</f>
        <v/>
      </c>
    </row>
    <row r="172" ht="18" customHeight="1">
      <c r="A172" s="22" t="n">
        <v>170</v>
      </c>
      <c r="B172" s="23">
        <f>IF(C172&lt;=Parametry!$C$6,DATE(Parametry!$C$12+INT((Parametry!$C$13+170-2)/12),MOD(Parametry!$C$13+170-2,12)+1,Parametry!$C$11),"")</f>
        <v/>
      </c>
      <c r="C172" s="24" t="n">
        <v>170</v>
      </c>
      <c r="D172" s="25">
        <f>IF(C172&lt;=Parametry!$C$6,L171,0)</f>
        <v/>
      </c>
      <c r="E172" s="26">
        <f>IF(OR(D172&lt;=0,C172&gt;Parametry!$C$6),0,IF(C172&lt;=Parametry!$C$9+1,Parametry!$C$8,Parametry!$C$10))</f>
        <v/>
      </c>
      <c r="F172" s="25">
        <f>IF(D172&lt;=0,0,ROUND(D172*E172/12,2))</f>
        <v/>
      </c>
      <c r="G172" s="25">
        <f>IF(OR(D172&lt;=0,C172&gt;Parametry!$C$6),0,MIN(IF(C172&lt;=Parametry!$C$9+1,Parametry!$C$7,Parametry!$C$14),ROUND(D172+F172,2)))</f>
        <v/>
      </c>
      <c r="H172" s="18" t="n"/>
      <c r="I172" s="19">
        <f>IF(OR(L172&lt;=0,C172&gt;=Parametry!$C$6),0,INDEX(G:G,ROW()+1))</f>
        <v/>
      </c>
      <c r="J172" s="27">
        <f>IF(D172&lt;=0,0,MIN(G172+N(H172),ROUND(D172+F172,2)))</f>
        <v/>
      </c>
      <c r="K172" s="25">
        <f>IF(J172&lt;=0,0,ROUND(MAX(0,J172-F172),2))</f>
        <v/>
      </c>
      <c r="L172" s="27">
        <f>IF(D172&lt;=0,0,ROUND(MAX(0,D172-K172),2))</f>
        <v/>
      </c>
      <c r="M172" s="28">
        <f>IF(L172&lt;=0,0,IFERROR(MATCH(TRUE,INDEX(L172:L327&lt;=0,0),0),156))</f>
        <v/>
      </c>
    </row>
    <row r="173" ht="18" customHeight="1">
      <c r="A173" s="13" t="n">
        <v>171</v>
      </c>
      <c r="B173" s="14">
        <f>IF(C173&lt;=Parametry!$C$6,DATE(Parametry!$C$12+INT((Parametry!$C$13+171-2)/12),MOD(Parametry!$C$13+171-2,12)+1,Parametry!$C$11),"")</f>
        <v/>
      </c>
      <c r="C173" s="15" t="n">
        <v>171</v>
      </c>
      <c r="D173" s="16">
        <f>IF(C173&lt;=Parametry!$C$6,L172,0)</f>
        <v/>
      </c>
      <c r="E173" s="17">
        <f>IF(OR(D173&lt;=0,C173&gt;Parametry!$C$6),0,IF(C173&lt;=Parametry!$C$9+1,Parametry!$C$8,Parametry!$C$10))</f>
        <v/>
      </c>
      <c r="F173" s="16">
        <f>IF(D173&lt;=0,0,ROUND(D173*E173/12,2))</f>
        <v/>
      </c>
      <c r="G173" s="16">
        <f>IF(OR(D173&lt;=0,C173&gt;Parametry!$C$6),0,MIN(IF(C173&lt;=Parametry!$C$9+1,Parametry!$C$7,Parametry!$C$14),ROUND(D173+F173,2)))</f>
        <v/>
      </c>
      <c r="H173" s="18" t="n"/>
      <c r="I173" s="19">
        <f>IF(OR(L173&lt;=0,C173&gt;=Parametry!$C$6),0,INDEX(G:G,ROW()+1))</f>
        <v/>
      </c>
      <c r="J173" s="20">
        <f>IF(D173&lt;=0,0,MIN(G173+N(H173),ROUND(D173+F173,2)))</f>
        <v/>
      </c>
      <c r="K173" s="16">
        <f>IF(J173&lt;=0,0,ROUND(MAX(0,J173-F173),2))</f>
        <v/>
      </c>
      <c r="L173" s="20">
        <f>IF(D173&lt;=0,0,ROUND(MAX(0,D173-K173),2))</f>
        <v/>
      </c>
      <c r="M173" s="21">
        <f>IF(L173&lt;=0,0,IFERROR(MATCH(TRUE,INDEX(L173:L327&lt;=0,0),0),155))</f>
        <v/>
      </c>
    </row>
    <row r="174" ht="18" customHeight="1">
      <c r="A174" s="22" t="n">
        <v>172</v>
      </c>
      <c r="B174" s="23">
        <f>IF(C174&lt;=Parametry!$C$6,DATE(Parametry!$C$12+INT((Parametry!$C$13+172-2)/12),MOD(Parametry!$C$13+172-2,12)+1,Parametry!$C$11),"")</f>
        <v/>
      </c>
      <c r="C174" s="24" t="n">
        <v>172</v>
      </c>
      <c r="D174" s="25">
        <f>IF(C174&lt;=Parametry!$C$6,L173,0)</f>
        <v/>
      </c>
      <c r="E174" s="26">
        <f>IF(OR(D174&lt;=0,C174&gt;Parametry!$C$6),0,IF(C174&lt;=Parametry!$C$9+1,Parametry!$C$8,Parametry!$C$10))</f>
        <v/>
      </c>
      <c r="F174" s="25">
        <f>IF(D174&lt;=0,0,ROUND(D174*E174/12,2))</f>
        <v/>
      </c>
      <c r="G174" s="25">
        <f>IF(OR(D174&lt;=0,C174&gt;Parametry!$C$6),0,MIN(IF(C174&lt;=Parametry!$C$9+1,Parametry!$C$7,Parametry!$C$14),ROUND(D174+F174,2)))</f>
        <v/>
      </c>
      <c r="H174" s="18" t="n"/>
      <c r="I174" s="19">
        <f>IF(OR(L174&lt;=0,C174&gt;=Parametry!$C$6),0,INDEX(G:G,ROW()+1))</f>
        <v/>
      </c>
      <c r="J174" s="27">
        <f>IF(D174&lt;=0,0,MIN(G174+N(H174),ROUND(D174+F174,2)))</f>
        <v/>
      </c>
      <c r="K174" s="25">
        <f>IF(J174&lt;=0,0,ROUND(MAX(0,J174-F174),2))</f>
        <v/>
      </c>
      <c r="L174" s="27">
        <f>IF(D174&lt;=0,0,ROUND(MAX(0,D174-K174),2))</f>
        <v/>
      </c>
      <c r="M174" s="28">
        <f>IF(L174&lt;=0,0,IFERROR(MATCH(TRUE,INDEX(L174:L327&lt;=0,0),0),154))</f>
        <v/>
      </c>
    </row>
    <row r="175" ht="18" customHeight="1">
      <c r="A175" s="13" t="n">
        <v>173</v>
      </c>
      <c r="B175" s="14">
        <f>IF(C175&lt;=Parametry!$C$6,DATE(Parametry!$C$12+INT((Parametry!$C$13+173-2)/12),MOD(Parametry!$C$13+173-2,12)+1,Parametry!$C$11),"")</f>
        <v/>
      </c>
      <c r="C175" s="15" t="n">
        <v>173</v>
      </c>
      <c r="D175" s="16">
        <f>IF(C175&lt;=Parametry!$C$6,L174,0)</f>
        <v/>
      </c>
      <c r="E175" s="17">
        <f>IF(OR(D175&lt;=0,C175&gt;Parametry!$C$6),0,IF(C175&lt;=Parametry!$C$9+1,Parametry!$C$8,Parametry!$C$10))</f>
        <v/>
      </c>
      <c r="F175" s="16">
        <f>IF(D175&lt;=0,0,ROUND(D175*E175/12,2))</f>
        <v/>
      </c>
      <c r="G175" s="16">
        <f>IF(OR(D175&lt;=0,C175&gt;Parametry!$C$6),0,MIN(IF(C175&lt;=Parametry!$C$9+1,Parametry!$C$7,Parametry!$C$14),ROUND(D175+F175,2)))</f>
        <v/>
      </c>
      <c r="H175" s="18" t="n"/>
      <c r="I175" s="19">
        <f>IF(OR(L175&lt;=0,C175&gt;=Parametry!$C$6),0,INDEX(G:G,ROW()+1))</f>
        <v/>
      </c>
      <c r="J175" s="20">
        <f>IF(D175&lt;=0,0,MIN(G175+N(H175),ROUND(D175+F175,2)))</f>
        <v/>
      </c>
      <c r="K175" s="16">
        <f>IF(J175&lt;=0,0,ROUND(MAX(0,J175-F175),2))</f>
        <v/>
      </c>
      <c r="L175" s="20">
        <f>IF(D175&lt;=0,0,ROUND(MAX(0,D175-K175),2))</f>
        <v/>
      </c>
      <c r="M175" s="21">
        <f>IF(L175&lt;=0,0,IFERROR(MATCH(TRUE,INDEX(L175:L327&lt;=0,0),0),153))</f>
        <v/>
      </c>
    </row>
    <row r="176" ht="18" customHeight="1">
      <c r="A176" s="22" t="n">
        <v>174</v>
      </c>
      <c r="B176" s="23">
        <f>IF(C176&lt;=Parametry!$C$6,DATE(Parametry!$C$12+INT((Parametry!$C$13+174-2)/12),MOD(Parametry!$C$13+174-2,12)+1,Parametry!$C$11),"")</f>
        <v/>
      </c>
      <c r="C176" s="24" t="n">
        <v>174</v>
      </c>
      <c r="D176" s="25">
        <f>IF(C176&lt;=Parametry!$C$6,L175,0)</f>
        <v/>
      </c>
      <c r="E176" s="26">
        <f>IF(OR(D176&lt;=0,C176&gt;Parametry!$C$6),0,IF(C176&lt;=Parametry!$C$9+1,Parametry!$C$8,Parametry!$C$10))</f>
        <v/>
      </c>
      <c r="F176" s="25">
        <f>IF(D176&lt;=0,0,ROUND(D176*E176/12,2))</f>
        <v/>
      </c>
      <c r="G176" s="25">
        <f>IF(OR(D176&lt;=0,C176&gt;Parametry!$C$6),0,MIN(IF(C176&lt;=Parametry!$C$9+1,Parametry!$C$7,Parametry!$C$14),ROUND(D176+F176,2)))</f>
        <v/>
      </c>
      <c r="H176" s="18" t="n"/>
      <c r="I176" s="19">
        <f>IF(OR(L176&lt;=0,C176&gt;=Parametry!$C$6),0,INDEX(G:G,ROW()+1))</f>
        <v/>
      </c>
      <c r="J176" s="27">
        <f>IF(D176&lt;=0,0,MIN(G176+N(H176),ROUND(D176+F176,2)))</f>
        <v/>
      </c>
      <c r="K176" s="25">
        <f>IF(J176&lt;=0,0,ROUND(MAX(0,J176-F176),2))</f>
        <v/>
      </c>
      <c r="L176" s="27">
        <f>IF(D176&lt;=0,0,ROUND(MAX(0,D176-K176),2))</f>
        <v/>
      </c>
      <c r="M176" s="28">
        <f>IF(L176&lt;=0,0,IFERROR(MATCH(TRUE,INDEX(L176:L327&lt;=0,0),0),152))</f>
        <v/>
      </c>
    </row>
    <row r="177" ht="18" customHeight="1">
      <c r="A177" s="13" t="n">
        <v>175</v>
      </c>
      <c r="B177" s="14">
        <f>IF(C177&lt;=Parametry!$C$6,DATE(Parametry!$C$12+INT((Parametry!$C$13+175-2)/12),MOD(Parametry!$C$13+175-2,12)+1,Parametry!$C$11),"")</f>
        <v/>
      </c>
      <c r="C177" s="15" t="n">
        <v>175</v>
      </c>
      <c r="D177" s="16">
        <f>IF(C177&lt;=Parametry!$C$6,L176,0)</f>
        <v/>
      </c>
      <c r="E177" s="17">
        <f>IF(OR(D177&lt;=0,C177&gt;Parametry!$C$6),0,IF(C177&lt;=Parametry!$C$9+1,Parametry!$C$8,Parametry!$C$10))</f>
        <v/>
      </c>
      <c r="F177" s="16">
        <f>IF(D177&lt;=0,0,ROUND(D177*E177/12,2))</f>
        <v/>
      </c>
      <c r="G177" s="16">
        <f>IF(OR(D177&lt;=0,C177&gt;Parametry!$C$6),0,MIN(IF(C177&lt;=Parametry!$C$9+1,Parametry!$C$7,Parametry!$C$14),ROUND(D177+F177,2)))</f>
        <v/>
      </c>
      <c r="H177" s="18" t="n"/>
      <c r="I177" s="19">
        <f>IF(OR(L177&lt;=0,C177&gt;=Parametry!$C$6),0,INDEX(G:G,ROW()+1))</f>
        <v/>
      </c>
      <c r="J177" s="20">
        <f>IF(D177&lt;=0,0,MIN(G177+N(H177),ROUND(D177+F177,2)))</f>
        <v/>
      </c>
      <c r="K177" s="16">
        <f>IF(J177&lt;=0,0,ROUND(MAX(0,J177-F177),2))</f>
        <v/>
      </c>
      <c r="L177" s="20">
        <f>IF(D177&lt;=0,0,ROUND(MAX(0,D177-K177),2))</f>
        <v/>
      </c>
      <c r="M177" s="21">
        <f>IF(L177&lt;=0,0,IFERROR(MATCH(TRUE,INDEX(L177:L327&lt;=0,0),0),151))</f>
        <v/>
      </c>
    </row>
    <row r="178" ht="18" customHeight="1">
      <c r="A178" s="22" t="n">
        <v>176</v>
      </c>
      <c r="B178" s="23">
        <f>IF(C178&lt;=Parametry!$C$6,DATE(Parametry!$C$12+INT((Parametry!$C$13+176-2)/12),MOD(Parametry!$C$13+176-2,12)+1,Parametry!$C$11),"")</f>
        <v/>
      </c>
      <c r="C178" s="24" t="n">
        <v>176</v>
      </c>
      <c r="D178" s="25">
        <f>IF(C178&lt;=Parametry!$C$6,L177,0)</f>
        <v/>
      </c>
      <c r="E178" s="26">
        <f>IF(OR(D178&lt;=0,C178&gt;Parametry!$C$6),0,IF(C178&lt;=Parametry!$C$9+1,Parametry!$C$8,Parametry!$C$10))</f>
        <v/>
      </c>
      <c r="F178" s="25">
        <f>IF(D178&lt;=0,0,ROUND(D178*E178/12,2))</f>
        <v/>
      </c>
      <c r="G178" s="25">
        <f>IF(OR(D178&lt;=0,C178&gt;Parametry!$C$6),0,MIN(IF(C178&lt;=Parametry!$C$9+1,Parametry!$C$7,Parametry!$C$14),ROUND(D178+F178,2)))</f>
        <v/>
      </c>
      <c r="H178" s="18" t="n"/>
      <c r="I178" s="19">
        <f>IF(OR(L178&lt;=0,C178&gt;=Parametry!$C$6),0,INDEX(G:G,ROW()+1))</f>
        <v/>
      </c>
      <c r="J178" s="27">
        <f>IF(D178&lt;=0,0,MIN(G178+N(H178),ROUND(D178+F178,2)))</f>
        <v/>
      </c>
      <c r="K178" s="25">
        <f>IF(J178&lt;=0,0,ROUND(MAX(0,J178-F178),2))</f>
        <v/>
      </c>
      <c r="L178" s="27">
        <f>IF(D178&lt;=0,0,ROUND(MAX(0,D178-K178),2))</f>
        <v/>
      </c>
      <c r="M178" s="28">
        <f>IF(L178&lt;=0,0,IFERROR(MATCH(TRUE,INDEX(L178:L327&lt;=0,0),0),150))</f>
        <v/>
      </c>
    </row>
    <row r="179" ht="18" customHeight="1">
      <c r="A179" s="13" t="n">
        <v>177</v>
      </c>
      <c r="B179" s="14">
        <f>IF(C179&lt;=Parametry!$C$6,DATE(Parametry!$C$12+INT((Parametry!$C$13+177-2)/12),MOD(Parametry!$C$13+177-2,12)+1,Parametry!$C$11),"")</f>
        <v/>
      </c>
      <c r="C179" s="15" t="n">
        <v>177</v>
      </c>
      <c r="D179" s="16">
        <f>IF(C179&lt;=Parametry!$C$6,L178,0)</f>
        <v/>
      </c>
      <c r="E179" s="17">
        <f>IF(OR(D179&lt;=0,C179&gt;Parametry!$C$6),0,IF(C179&lt;=Parametry!$C$9+1,Parametry!$C$8,Parametry!$C$10))</f>
        <v/>
      </c>
      <c r="F179" s="16">
        <f>IF(D179&lt;=0,0,ROUND(D179*E179/12,2))</f>
        <v/>
      </c>
      <c r="G179" s="16">
        <f>IF(OR(D179&lt;=0,C179&gt;Parametry!$C$6),0,MIN(IF(C179&lt;=Parametry!$C$9+1,Parametry!$C$7,Parametry!$C$14),ROUND(D179+F179,2)))</f>
        <v/>
      </c>
      <c r="H179" s="18" t="n"/>
      <c r="I179" s="19">
        <f>IF(OR(L179&lt;=0,C179&gt;=Parametry!$C$6),0,INDEX(G:G,ROW()+1))</f>
        <v/>
      </c>
      <c r="J179" s="20">
        <f>IF(D179&lt;=0,0,MIN(G179+N(H179),ROUND(D179+F179,2)))</f>
        <v/>
      </c>
      <c r="K179" s="16">
        <f>IF(J179&lt;=0,0,ROUND(MAX(0,J179-F179),2))</f>
        <v/>
      </c>
      <c r="L179" s="20">
        <f>IF(D179&lt;=0,0,ROUND(MAX(0,D179-K179),2))</f>
        <v/>
      </c>
      <c r="M179" s="21">
        <f>IF(L179&lt;=0,0,IFERROR(MATCH(TRUE,INDEX(L179:L327&lt;=0,0),0),149))</f>
        <v/>
      </c>
    </row>
    <row r="180" ht="18" customHeight="1">
      <c r="A180" s="22" t="n">
        <v>178</v>
      </c>
      <c r="B180" s="23">
        <f>IF(C180&lt;=Parametry!$C$6,DATE(Parametry!$C$12+INT((Parametry!$C$13+178-2)/12),MOD(Parametry!$C$13+178-2,12)+1,Parametry!$C$11),"")</f>
        <v/>
      </c>
      <c r="C180" s="24" t="n">
        <v>178</v>
      </c>
      <c r="D180" s="25">
        <f>IF(C180&lt;=Parametry!$C$6,L179,0)</f>
        <v/>
      </c>
      <c r="E180" s="26">
        <f>IF(OR(D180&lt;=0,C180&gt;Parametry!$C$6),0,IF(C180&lt;=Parametry!$C$9+1,Parametry!$C$8,Parametry!$C$10))</f>
        <v/>
      </c>
      <c r="F180" s="25">
        <f>IF(D180&lt;=0,0,ROUND(D180*E180/12,2))</f>
        <v/>
      </c>
      <c r="G180" s="25">
        <f>IF(OR(D180&lt;=0,C180&gt;Parametry!$C$6),0,MIN(IF(C180&lt;=Parametry!$C$9+1,Parametry!$C$7,Parametry!$C$14),ROUND(D180+F180,2)))</f>
        <v/>
      </c>
      <c r="H180" s="18" t="n"/>
      <c r="I180" s="19">
        <f>IF(OR(L180&lt;=0,C180&gt;=Parametry!$C$6),0,INDEX(G:G,ROW()+1))</f>
        <v/>
      </c>
      <c r="J180" s="27">
        <f>IF(D180&lt;=0,0,MIN(G180+N(H180),ROUND(D180+F180,2)))</f>
        <v/>
      </c>
      <c r="K180" s="25">
        <f>IF(J180&lt;=0,0,ROUND(MAX(0,J180-F180),2))</f>
        <v/>
      </c>
      <c r="L180" s="27">
        <f>IF(D180&lt;=0,0,ROUND(MAX(0,D180-K180),2))</f>
        <v/>
      </c>
      <c r="M180" s="28">
        <f>IF(L180&lt;=0,0,IFERROR(MATCH(TRUE,INDEX(L180:L327&lt;=0,0),0),148))</f>
        <v/>
      </c>
    </row>
    <row r="181" ht="18" customHeight="1">
      <c r="A181" s="13" t="n">
        <v>179</v>
      </c>
      <c r="B181" s="14">
        <f>IF(C181&lt;=Parametry!$C$6,DATE(Parametry!$C$12+INT((Parametry!$C$13+179-2)/12),MOD(Parametry!$C$13+179-2,12)+1,Parametry!$C$11),"")</f>
        <v/>
      </c>
      <c r="C181" s="15" t="n">
        <v>179</v>
      </c>
      <c r="D181" s="16">
        <f>IF(C181&lt;=Parametry!$C$6,L180,0)</f>
        <v/>
      </c>
      <c r="E181" s="17">
        <f>IF(OR(D181&lt;=0,C181&gt;Parametry!$C$6),0,IF(C181&lt;=Parametry!$C$9+1,Parametry!$C$8,Parametry!$C$10))</f>
        <v/>
      </c>
      <c r="F181" s="16">
        <f>IF(D181&lt;=0,0,ROUND(D181*E181/12,2))</f>
        <v/>
      </c>
      <c r="G181" s="16">
        <f>IF(OR(D181&lt;=0,C181&gt;Parametry!$C$6),0,MIN(IF(C181&lt;=Parametry!$C$9+1,Parametry!$C$7,Parametry!$C$14),ROUND(D181+F181,2)))</f>
        <v/>
      </c>
      <c r="H181" s="18" t="n"/>
      <c r="I181" s="19">
        <f>IF(OR(L181&lt;=0,C181&gt;=Parametry!$C$6),0,INDEX(G:G,ROW()+1))</f>
        <v/>
      </c>
      <c r="J181" s="20">
        <f>IF(D181&lt;=0,0,MIN(G181+N(H181),ROUND(D181+F181,2)))</f>
        <v/>
      </c>
      <c r="K181" s="16">
        <f>IF(J181&lt;=0,0,ROUND(MAX(0,J181-F181),2))</f>
        <v/>
      </c>
      <c r="L181" s="20">
        <f>IF(D181&lt;=0,0,ROUND(MAX(0,D181-K181),2))</f>
        <v/>
      </c>
      <c r="M181" s="21">
        <f>IF(L181&lt;=0,0,IFERROR(MATCH(TRUE,INDEX(L181:L327&lt;=0,0),0),147))</f>
        <v/>
      </c>
    </row>
    <row r="182" ht="18" customHeight="1">
      <c r="A182" s="22" t="n">
        <v>180</v>
      </c>
      <c r="B182" s="23">
        <f>IF(C182&lt;=Parametry!$C$6,DATE(Parametry!$C$12+INT((Parametry!$C$13+180-2)/12),MOD(Parametry!$C$13+180-2,12)+1,Parametry!$C$11),"")</f>
        <v/>
      </c>
      <c r="C182" s="24" t="n">
        <v>180</v>
      </c>
      <c r="D182" s="25">
        <f>IF(C182&lt;=Parametry!$C$6,L181,0)</f>
        <v/>
      </c>
      <c r="E182" s="26">
        <f>IF(OR(D182&lt;=0,C182&gt;Parametry!$C$6),0,IF(C182&lt;=Parametry!$C$9+1,Parametry!$C$8,Parametry!$C$10))</f>
        <v/>
      </c>
      <c r="F182" s="25">
        <f>IF(D182&lt;=0,0,ROUND(D182*E182/12,2))</f>
        <v/>
      </c>
      <c r="G182" s="25">
        <f>IF(OR(D182&lt;=0,C182&gt;Parametry!$C$6),0,MIN(IF(C182&lt;=Parametry!$C$9+1,Parametry!$C$7,Parametry!$C$14),ROUND(D182+F182,2)))</f>
        <v/>
      </c>
      <c r="H182" s="18" t="n"/>
      <c r="I182" s="19">
        <f>IF(OR(L182&lt;=0,C182&gt;=Parametry!$C$6),0,INDEX(G:G,ROW()+1))</f>
        <v/>
      </c>
      <c r="J182" s="27">
        <f>IF(D182&lt;=0,0,MIN(G182+N(H182),ROUND(D182+F182,2)))</f>
        <v/>
      </c>
      <c r="K182" s="25">
        <f>IF(J182&lt;=0,0,ROUND(MAX(0,J182-F182),2))</f>
        <v/>
      </c>
      <c r="L182" s="27">
        <f>IF(D182&lt;=0,0,ROUND(MAX(0,D182-K182),2))</f>
        <v/>
      </c>
      <c r="M182" s="28">
        <f>IF(L182&lt;=0,0,IFERROR(MATCH(TRUE,INDEX(L182:L327&lt;=0,0),0),146))</f>
        <v/>
      </c>
    </row>
    <row r="183" ht="18" customHeight="1">
      <c r="A183" s="13" t="n">
        <v>181</v>
      </c>
      <c r="B183" s="14">
        <f>IF(C183&lt;=Parametry!$C$6,DATE(Parametry!$C$12+INT((Parametry!$C$13+181-2)/12),MOD(Parametry!$C$13+181-2,12)+1,Parametry!$C$11),"")</f>
        <v/>
      </c>
      <c r="C183" s="15" t="n">
        <v>181</v>
      </c>
      <c r="D183" s="16">
        <f>IF(C183&lt;=Parametry!$C$6,L182,0)</f>
        <v/>
      </c>
      <c r="E183" s="17">
        <f>IF(OR(D183&lt;=0,C183&gt;Parametry!$C$6),0,IF(C183&lt;=Parametry!$C$9+1,Parametry!$C$8,Parametry!$C$10))</f>
        <v/>
      </c>
      <c r="F183" s="16">
        <f>IF(D183&lt;=0,0,ROUND(D183*E183/12,2))</f>
        <v/>
      </c>
      <c r="G183" s="16">
        <f>IF(OR(D183&lt;=0,C183&gt;Parametry!$C$6),0,MIN(IF(C183&lt;=Parametry!$C$9+1,Parametry!$C$7,Parametry!$C$14),ROUND(D183+F183,2)))</f>
        <v/>
      </c>
      <c r="H183" s="18" t="n"/>
      <c r="I183" s="19">
        <f>IF(OR(L183&lt;=0,C183&gt;=Parametry!$C$6),0,INDEX(G:G,ROW()+1))</f>
        <v/>
      </c>
      <c r="J183" s="20">
        <f>IF(D183&lt;=0,0,MIN(G183+N(H183),ROUND(D183+F183,2)))</f>
        <v/>
      </c>
      <c r="K183" s="16">
        <f>IF(J183&lt;=0,0,ROUND(MAX(0,J183-F183),2))</f>
        <v/>
      </c>
      <c r="L183" s="20">
        <f>IF(D183&lt;=0,0,ROUND(MAX(0,D183-K183),2))</f>
        <v/>
      </c>
      <c r="M183" s="21">
        <f>IF(L183&lt;=0,0,IFERROR(MATCH(TRUE,INDEX(L183:L327&lt;=0,0),0),145))</f>
        <v/>
      </c>
    </row>
    <row r="184" ht="18" customHeight="1">
      <c r="A184" s="22" t="n">
        <v>182</v>
      </c>
      <c r="B184" s="23">
        <f>IF(C184&lt;=Parametry!$C$6,DATE(Parametry!$C$12+INT((Parametry!$C$13+182-2)/12),MOD(Parametry!$C$13+182-2,12)+1,Parametry!$C$11),"")</f>
        <v/>
      </c>
      <c r="C184" s="24" t="n">
        <v>182</v>
      </c>
      <c r="D184" s="25">
        <f>IF(C184&lt;=Parametry!$C$6,L183,0)</f>
        <v/>
      </c>
      <c r="E184" s="26">
        <f>IF(OR(D184&lt;=0,C184&gt;Parametry!$C$6),0,IF(C184&lt;=Parametry!$C$9+1,Parametry!$C$8,Parametry!$C$10))</f>
        <v/>
      </c>
      <c r="F184" s="25">
        <f>IF(D184&lt;=0,0,ROUND(D184*E184/12,2))</f>
        <v/>
      </c>
      <c r="G184" s="25">
        <f>IF(OR(D184&lt;=0,C184&gt;Parametry!$C$6),0,MIN(IF(C184&lt;=Parametry!$C$9+1,Parametry!$C$7,Parametry!$C$14),ROUND(D184+F184,2)))</f>
        <v/>
      </c>
      <c r="H184" s="18" t="n"/>
      <c r="I184" s="19">
        <f>IF(OR(L184&lt;=0,C184&gt;=Parametry!$C$6),0,INDEX(G:G,ROW()+1))</f>
        <v/>
      </c>
      <c r="J184" s="27">
        <f>IF(D184&lt;=0,0,MIN(G184+N(H184),ROUND(D184+F184,2)))</f>
        <v/>
      </c>
      <c r="K184" s="25">
        <f>IF(J184&lt;=0,0,ROUND(MAX(0,J184-F184),2))</f>
        <v/>
      </c>
      <c r="L184" s="27">
        <f>IF(D184&lt;=0,0,ROUND(MAX(0,D184-K184),2))</f>
        <v/>
      </c>
      <c r="M184" s="28">
        <f>IF(L184&lt;=0,0,IFERROR(MATCH(TRUE,INDEX(L184:L327&lt;=0,0),0),144))</f>
        <v/>
      </c>
    </row>
    <row r="185" ht="18" customHeight="1">
      <c r="A185" s="13" t="n">
        <v>183</v>
      </c>
      <c r="B185" s="14">
        <f>IF(C185&lt;=Parametry!$C$6,DATE(Parametry!$C$12+INT((Parametry!$C$13+183-2)/12),MOD(Parametry!$C$13+183-2,12)+1,Parametry!$C$11),"")</f>
        <v/>
      </c>
      <c r="C185" s="15" t="n">
        <v>183</v>
      </c>
      <c r="D185" s="16">
        <f>IF(C185&lt;=Parametry!$C$6,L184,0)</f>
        <v/>
      </c>
      <c r="E185" s="17">
        <f>IF(OR(D185&lt;=0,C185&gt;Parametry!$C$6),0,IF(C185&lt;=Parametry!$C$9+1,Parametry!$C$8,Parametry!$C$10))</f>
        <v/>
      </c>
      <c r="F185" s="16">
        <f>IF(D185&lt;=0,0,ROUND(D185*E185/12,2))</f>
        <v/>
      </c>
      <c r="G185" s="16">
        <f>IF(OR(D185&lt;=0,C185&gt;Parametry!$C$6),0,MIN(IF(C185&lt;=Parametry!$C$9+1,Parametry!$C$7,Parametry!$C$14),ROUND(D185+F185,2)))</f>
        <v/>
      </c>
      <c r="H185" s="18" t="n"/>
      <c r="I185" s="19">
        <f>IF(OR(L185&lt;=0,C185&gt;=Parametry!$C$6),0,INDEX(G:G,ROW()+1))</f>
        <v/>
      </c>
      <c r="J185" s="20">
        <f>IF(D185&lt;=0,0,MIN(G185+N(H185),ROUND(D185+F185,2)))</f>
        <v/>
      </c>
      <c r="K185" s="16">
        <f>IF(J185&lt;=0,0,ROUND(MAX(0,J185-F185),2))</f>
        <v/>
      </c>
      <c r="L185" s="20">
        <f>IF(D185&lt;=0,0,ROUND(MAX(0,D185-K185),2))</f>
        <v/>
      </c>
      <c r="M185" s="21">
        <f>IF(L185&lt;=0,0,IFERROR(MATCH(TRUE,INDEX(L185:L327&lt;=0,0),0),143))</f>
        <v/>
      </c>
    </row>
    <row r="186" ht="18" customHeight="1">
      <c r="A186" s="22" t="n">
        <v>184</v>
      </c>
      <c r="B186" s="23">
        <f>IF(C186&lt;=Parametry!$C$6,DATE(Parametry!$C$12+INT((Parametry!$C$13+184-2)/12),MOD(Parametry!$C$13+184-2,12)+1,Parametry!$C$11),"")</f>
        <v/>
      </c>
      <c r="C186" s="24" t="n">
        <v>184</v>
      </c>
      <c r="D186" s="25">
        <f>IF(C186&lt;=Parametry!$C$6,L185,0)</f>
        <v/>
      </c>
      <c r="E186" s="26">
        <f>IF(OR(D186&lt;=0,C186&gt;Parametry!$C$6),0,IF(C186&lt;=Parametry!$C$9+1,Parametry!$C$8,Parametry!$C$10))</f>
        <v/>
      </c>
      <c r="F186" s="25">
        <f>IF(D186&lt;=0,0,ROUND(D186*E186/12,2))</f>
        <v/>
      </c>
      <c r="G186" s="25">
        <f>IF(OR(D186&lt;=0,C186&gt;Parametry!$C$6),0,MIN(IF(C186&lt;=Parametry!$C$9+1,Parametry!$C$7,Parametry!$C$14),ROUND(D186+F186,2)))</f>
        <v/>
      </c>
      <c r="H186" s="18" t="n"/>
      <c r="I186" s="19">
        <f>IF(OR(L186&lt;=0,C186&gt;=Parametry!$C$6),0,INDEX(G:G,ROW()+1))</f>
        <v/>
      </c>
      <c r="J186" s="27">
        <f>IF(D186&lt;=0,0,MIN(G186+N(H186),ROUND(D186+F186,2)))</f>
        <v/>
      </c>
      <c r="K186" s="25">
        <f>IF(J186&lt;=0,0,ROUND(MAX(0,J186-F186),2))</f>
        <v/>
      </c>
      <c r="L186" s="27">
        <f>IF(D186&lt;=0,0,ROUND(MAX(0,D186-K186),2))</f>
        <v/>
      </c>
      <c r="M186" s="28">
        <f>IF(L186&lt;=0,0,IFERROR(MATCH(TRUE,INDEX(L186:L327&lt;=0,0),0),142))</f>
        <v/>
      </c>
    </row>
    <row r="187" ht="18" customHeight="1">
      <c r="A187" s="13" t="n">
        <v>185</v>
      </c>
      <c r="B187" s="14">
        <f>IF(C187&lt;=Parametry!$C$6,DATE(Parametry!$C$12+INT((Parametry!$C$13+185-2)/12),MOD(Parametry!$C$13+185-2,12)+1,Parametry!$C$11),"")</f>
        <v/>
      </c>
      <c r="C187" s="15" t="n">
        <v>185</v>
      </c>
      <c r="D187" s="16">
        <f>IF(C187&lt;=Parametry!$C$6,L186,0)</f>
        <v/>
      </c>
      <c r="E187" s="17">
        <f>IF(OR(D187&lt;=0,C187&gt;Parametry!$C$6),0,IF(C187&lt;=Parametry!$C$9+1,Parametry!$C$8,Parametry!$C$10))</f>
        <v/>
      </c>
      <c r="F187" s="16">
        <f>IF(D187&lt;=0,0,ROUND(D187*E187/12,2))</f>
        <v/>
      </c>
      <c r="G187" s="16">
        <f>IF(OR(D187&lt;=0,C187&gt;Parametry!$C$6),0,MIN(IF(C187&lt;=Parametry!$C$9+1,Parametry!$C$7,Parametry!$C$14),ROUND(D187+F187,2)))</f>
        <v/>
      </c>
      <c r="H187" s="18" t="n"/>
      <c r="I187" s="19">
        <f>IF(OR(L187&lt;=0,C187&gt;=Parametry!$C$6),0,INDEX(G:G,ROW()+1))</f>
        <v/>
      </c>
      <c r="J187" s="20">
        <f>IF(D187&lt;=0,0,MIN(G187+N(H187),ROUND(D187+F187,2)))</f>
        <v/>
      </c>
      <c r="K187" s="16">
        <f>IF(J187&lt;=0,0,ROUND(MAX(0,J187-F187),2))</f>
        <v/>
      </c>
      <c r="L187" s="20">
        <f>IF(D187&lt;=0,0,ROUND(MAX(0,D187-K187),2))</f>
        <v/>
      </c>
      <c r="M187" s="21">
        <f>IF(L187&lt;=0,0,IFERROR(MATCH(TRUE,INDEX(L187:L327&lt;=0,0),0),141))</f>
        <v/>
      </c>
    </row>
    <row r="188" ht="18" customHeight="1">
      <c r="A188" s="22" t="n">
        <v>186</v>
      </c>
      <c r="B188" s="23">
        <f>IF(C188&lt;=Parametry!$C$6,DATE(Parametry!$C$12+INT((Parametry!$C$13+186-2)/12),MOD(Parametry!$C$13+186-2,12)+1,Parametry!$C$11),"")</f>
        <v/>
      </c>
      <c r="C188" s="24" t="n">
        <v>186</v>
      </c>
      <c r="D188" s="25">
        <f>IF(C188&lt;=Parametry!$C$6,L187,0)</f>
        <v/>
      </c>
      <c r="E188" s="26">
        <f>IF(OR(D188&lt;=0,C188&gt;Parametry!$C$6),0,IF(C188&lt;=Parametry!$C$9+1,Parametry!$C$8,Parametry!$C$10))</f>
        <v/>
      </c>
      <c r="F188" s="25">
        <f>IF(D188&lt;=0,0,ROUND(D188*E188/12,2))</f>
        <v/>
      </c>
      <c r="G188" s="25">
        <f>IF(OR(D188&lt;=0,C188&gt;Parametry!$C$6),0,MIN(IF(C188&lt;=Parametry!$C$9+1,Parametry!$C$7,Parametry!$C$14),ROUND(D188+F188,2)))</f>
        <v/>
      </c>
      <c r="H188" s="18" t="n"/>
      <c r="I188" s="19">
        <f>IF(OR(L188&lt;=0,C188&gt;=Parametry!$C$6),0,INDEX(G:G,ROW()+1))</f>
        <v/>
      </c>
      <c r="J188" s="27">
        <f>IF(D188&lt;=0,0,MIN(G188+N(H188),ROUND(D188+F188,2)))</f>
        <v/>
      </c>
      <c r="K188" s="25">
        <f>IF(J188&lt;=0,0,ROUND(MAX(0,J188-F188),2))</f>
        <v/>
      </c>
      <c r="L188" s="27">
        <f>IF(D188&lt;=0,0,ROUND(MAX(0,D188-K188),2))</f>
        <v/>
      </c>
      <c r="M188" s="28">
        <f>IF(L188&lt;=0,0,IFERROR(MATCH(TRUE,INDEX(L188:L327&lt;=0,0),0),140))</f>
        <v/>
      </c>
    </row>
    <row r="189" ht="18" customHeight="1">
      <c r="A189" s="13" t="n">
        <v>187</v>
      </c>
      <c r="B189" s="14">
        <f>IF(C189&lt;=Parametry!$C$6,DATE(Parametry!$C$12+INT((Parametry!$C$13+187-2)/12),MOD(Parametry!$C$13+187-2,12)+1,Parametry!$C$11),"")</f>
        <v/>
      </c>
      <c r="C189" s="15" t="n">
        <v>187</v>
      </c>
      <c r="D189" s="16">
        <f>IF(C189&lt;=Parametry!$C$6,L188,0)</f>
        <v/>
      </c>
      <c r="E189" s="17">
        <f>IF(OR(D189&lt;=0,C189&gt;Parametry!$C$6),0,IF(C189&lt;=Parametry!$C$9+1,Parametry!$C$8,Parametry!$C$10))</f>
        <v/>
      </c>
      <c r="F189" s="16">
        <f>IF(D189&lt;=0,0,ROUND(D189*E189/12,2))</f>
        <v/>
      </c>
      <c r="G189" s="16">
        <f>IF(OR(D189&lt;=0,C189&gt;Parametry!$C$6),0,MIN(IF(C189&lt;=Parametry!$C$9+1,Parametry!$C$7,Parametry!$C$14),ROUND(D189+F189,2)))</f>
        <v/>
      </c>
      <c r="H189" s="18" t="n"/>
      <c r="I189" s="19">
        <f>IF(OR(L189&lt;=0,C189&gt;=Parametry!$C$6),0,INDEX(G:G,ROW()+1))</f>
        <v/>
      </c>
      <c r="J189" s="20">
        <f>IF(D189&lt;=0,0,MIN(G189+N(H189),ROUND(D189+F189,2)))</f>
        <v/>
      </c>
      <c r="K189" s="16">
        <f>IF(J189&lt;=0,0,ROUND(MAX(0,J189-F189),2))</f>
        <v/>
      </c>
      <c r="L189" s="20">
        <f>IF(D189&lt;=0,0,ROUND(MAX(0,D189-K189),2))</f>
        <v/>
      </c>
      <c r="M189" s="21">
        <f>IF(L189&lt;=0,0,IFERROR(MATCH(TRUE,INDEX(L189:L327&lt;=0,0),0),139))</f>
        <v/>
      </c>
    </row>
    <row r="190" ht="18" customHeight="1">
      <c r="A190" s="22" t="n">
        <v>188</v>
      </c>
      <c r="B190" s="23">
        <f>IF(C190&lt;=Parametry!$C$6,DATE(Parametry!$C$12+INT((Parametry!$C$13+188-2)/12),MOD(Parametry!$C$13+188-2,12)+1,Parametry!$C$11),"")</f>
        <v/>
      </c>
      <c r="C190" s="24" t="n">
        <v>188</v>
      </c>
      <c r="D190" s="25">
        <f>IF(C190&lt;=Parametry!$C$6,L189,0)</f>
        <v/>
      </c>
      <c r="E190" s="26">
        <f>IF(OR(D190&lt;=0,C190&gt;Parametry!$C$6),0,IF(C190&lt;=Parametry!$C$9+1,Parametry!$C$8,Parametry!$C$10))</f>
        <v/>
      </c>
      <c r="F190" s="25">
        <f>IF(D190&lt;=0,0,ROUND(D190*E190/12,2))</f>
        <v/>
      </c>
      <c r="G190" s="25">
        <f>IF(OR(D190&lt;=0,C190&gt;Parametry!$C$6),0,MIN(IF(C190&lt;=Parametry!$C$9+1,Parametry!$C$7,Parametry!$C$14),ROUND(D190+F190,2)))</f>
        <v/>
      </c>
      <c r="H190" s="18" t="n"/>
      <c r="I190" s="19">
        <f>IF(OR(L190&lt;=0,C190&gt;=Parametry!$C$6),0,INDEX(G:G,ROW()+1))</f>
        <v/>
      </c>
      <c r="J190" s="27">
        <f>IF(D190&lt;=0,0,MIN(G190+N(H190),ROUND(D190+F190,2)))</f>
        <v/>
      </c>
      <c r="K190" s="25">
        <f>IF(J190&lt;=0,0,ROUND(MAX(0,J190-F190),2))</f>
        <v/>
      </c>
      <c r="L190" s="27">
        <f>IF(D190&lt;=0,0,ROUND(MAX(0,D190-K190),2))</f>
        <v/>
      </c>
      <c r="M190" s="28">
        <f>IF(L190&lt;=0,0,IFERROR(MATCH(TRUE,INDEX(L190:L327&lt;=0,0),0),138))</f>
        <v/>
      </c>
    </row>
    <row r="191" ht="18" customHeight="1">
      <c r="A191" s="13" t="n">
        <v>189</v>
      </c>
      <c r="B191" s="14">
        <f>IF(C191&lt;=Parametry!$C$6,DATE(Parametry!$C$12+INT((Parametry!$C$13+189-2)/12),MOD(Parametry!$C$13+189-2,12)+1,Parametry!$C$11),"")</f>
        <v/>
      </c>
      <c r="C191" s="15" t="n">
        <v>189</v>
      </c>
      <c r="D191" s="16">
        <f>IF(C191&lt;=Parametry!$C$6,L190,0)</f>
        <v/>
      </c>
      <c r="E191" s="17">
        <f>IF(OR(D191&lt;=0,C191&gt;Parametry!$C$6),0,IF(C191&lt;=Parametry!$C$9+1,Parametry!$C$8,Parametry!$C$10))</f>
        <v/>
      </c>
      <c r="F191" s="16">
        <f>IF(D191&lt;=0,0,ROUND(D191*E191/12,2))</f>
        <v/>
      </c>
      <c r="G191" s="16">
        <f>IF(OR(D191&lt;=0,C191&gt;Parametry!$C$6),0,MIN(IF(C191&lt;=Parametry!$C$9+1,Parametry!$C$7,Parametry!$C$14),ROUND(D191+F191,2)))</f>
        <v/>
      </c>
      <c r="H191" s="18" t="n"/>
      <c r="I191" s="19">
        <f>IF(OR(L191&lt;=0,C191&gt;=Parametry!$C$6),0,INDEX(G:G,ROW()+1))</f>
        <v/>
      </c>
      <c r="J191" s="20">
        <f>IF(D191&lt;=0,0,MIN(G191+N(H191),ROUND(D191+F191,2)))</f>
        <v/>
      </c>
      <c r="K191" s="16">
        <f>IF(J191&lt;=0,0,ROUND(MAX(0,J191-F191),2))</f>
        <v/>
      </c>
      <c r="L191" s="20">
        <f>IF(D191&lt;=0,0,ROUND(MAX(0,D191-K191),2))</f>
        <v/>
      </c>
      <c r="M191" s="21">
        <f>IF(L191&lt;=0,0,IFERROR(MATCH(TRUE,INDEX(L191:L327&lt;=0,0),0),137))</f>
        <v/>
      </c>
    </row>
    <row r="192" ht="18" customHeight="1">
      <c r="A192" s="22" t="n">
        <v>190</v>
      </c>
      <c r="B192" s="23">
        <f>IF(C192&lt;=Parametry!$C$6,DATE(Parametry!$C$12+INT((Parametry!$C$13+190-2)/12),MOD(Parametry!$C$13+190-2,12)+1,Parametry!$C$11),"")</f>
        <v/>
      </c>
      <c r="C192" s="24" t="n">
        <v>190</v>
      </c>
      <c r="D192" s="25">
        <f>IF(C192&lt;=Parametry!$C$6,L191,0)</f>
        <v/>
      </c>
      <c r="E192" s="26">
        <f>IF(OR(D192&lt;=0,C192&gt;Parametry!$C$6),0,IF(C192&lt;=Parametry!$C$9+1,Parametry!$C$8,Parametry!$C$10))</f>
        <v/>
      </c>
      <c r="F192" s="25">
        <f>IF(D192&lt;=0,0,ROUND(D192*E192/12,2))</f>
        <v/>
      </c>
      <c r="G192" s="25">
        <f>IF(OR(D192&lt;=0,C192&gt;Parametry!$C$6),0,MIN(IF(C192&lt;=Parametry!$C$9+1,Parametry!$C$7,Parametry!$C$14),ROUND(D192+F192,2)))</f>
        <v/>
      </c>
      <c r="H192" s="18" t="n"/>
      <c r="I192" s="19">
        <f>IF(OR(L192&lt;=0,C192&gt;=Parametry!$C$6),0,INDEX(G:G,ROW()+1))</f>
        <v/>
      </c>
      <c r="J192" s="27">
        <f>IF(D192&lt;=0,0,MIN(G192+N(H192),ROUND(D192+F192,2)))</f>
        <v/>
      </c>
      <c r="K192" s="25">
        <f>IF(J192&lt;=0,0,ROUND(MAX(0,J192-F192),2))</f>
        <v/>
      </c>
      <c r="L192" s="27">
        <f>IF(D192&lt;=0,0,ROUND(MAX(0,D192-K192),2))</f>
        <v/>
      </c>
      <c r="M192" s="28">
        <f>IF(L192&lt;=0,0,IFERROR(MATCH(TRUE,INDEX(L192:L327&lt;=0,0),0),136))</f>
        <v/>
      </c>
    </row>
    <row r="193" ht="18" customHeight="1">
      <c r="A193" s="13" t="n">
        <v>191</v>
      </c>
      <c r="B193" s="14">
        <f>IF(C193&lt;=Parametry!$C$6,DATE(Parametry!$C$12+INT((Parametry!$C$13+191-2)/12),MOD(Parametry!$C$13+191-2,12)+1,Parametry!$C$11),"")</f>
        <v/>
      </c>
      <c r="C193" s="15" t="n">
        <v>191</v>
      </c>
      <c r="D193" s="16">
        <f>IF(C193&lt;=Parametry!$C$6,L192,0)</f>
        <v/>
      </c>
      <c r="E193" s="17">
        <f>IF(OR(D193&lt;=0,C193&gt;Parametry!$C$6),0,IF(C193&lt;=Parametry!$C$9+1,Parametry!$C$8,Parametry!$C$10))</f>
        <v/>
      </c>
      <c r="F193" s="16">
        <f>IF(D193&lt;=0,0,ROUND(D193*E193/12,2))</f>
        <v/>
      </c>
      <c r="G193" s="16">
        <f>IF(OR(D193&lt;=0,C193&gt;Parametry!$C$6),0,MIN(IF(C193&lt;=Parametry!$C$9+1,Parametry!$C$7,Parametry!$C$14),ROUND(D193+F193,2)))</f>
        <v/>
      </c>
      <c r="H193" s="18" t="n"/>
      <c r="I193" s="19">
        <f>IF(OR(L193&lt;=0,C193&gt;=Parametry!$C$6),0,INDEX(G:G,ROW()+1))</f>
        <v/>
      </c>
      <c r="J193" s="20">
        <f>IF(D193&lt;=0,0,MIN(G193+N(H193),ROUND(D193+F193,2)))</f>
        <v/>
      </c>
      <c r="K193" s="16">
        <f>IF(J193&lt;=0,0,ROUND(MAX(0,J193-F193),2))</f>
        <v/>
      </c>
      <c r="L193" s="20">
        <f>IF(D193&lt;=0,0,ROUND(MAX(0,D193-K193),2))</f>
        <v/>
      </c>
      <c r="M193" s="21">
        <f>IF(L193&lt;=0,0,IFERROR(MATCH(TRUE,INDEX(L193:L327&lt;=0,0),0),135))</f>
        <v/>
      </c>
    </row>
    <row r="194" ht="18" customHeight="1">
      <c r="A194" s="22" t="n">
        <v>192</v>
      </c>
      <c r="B194" s="23">
        <f>IF(C194&lt;=Parametry!$C$6,DATE(Parametry!$C$12+INT((Parametry!$C$13+192-2)/12),MOD(Parametry!$C$13+192-2,12)+1,Parametry!$C$11),"")</f>
        <v/>
      </c>
      <c r="C194" s="24" t="n">
        <v>192</v>
      </c>
      <c r="D194" s="25">
        <f>IF(C194&lt;=Parametry!$C$6,L193,0)</f>
        <v/>
      </c>
      <c r="E194" s="26">
        <f>IF(OR(D194&lt;=0,C194&gt;Parametry!$C$6),0,IF(C194&lt;=Parametry!$C$9+1,Parametry!$C$8,Parametry!$C$10))</f>
        <v/>
      </c>
      <c r="F194" s="25">
        <f>IF(D194&lt;=0,0,ROUND(D194*E194/12,2))</f>
        <v/>
      </c>
      <c r="G194" s="25">
        <f>IF(OR(D194&lt;=0,C194&gt;Parametry!$C$6),0,MIN(IF(C194&lt;=Parametry!$C$9+1,Parametry!$C$7,Parametry!$C$14),ROUND(D194+F194,2)))</f>
        <v/>
      </c>
      <c r="H194" s="18" t="n"/>
      <c r="I194" s="19">
        <f>IF(OR(L194&lt;=0,C194&gt;=Parametry!$C$6),0,INDEX(G:G,ROW()+1))</f>
        <v/>
      </c>
      <c r="J194" s="27">
        <f>IF(D194&lt;=0,0,MIN(G194+N(H194),ROUND(D194+F194,2)))</f>
        <v/>
      </c>
      <c r="K194" s="25">
        <f>IF(J194&lt;=0,0,ROUND(MAX(0,J194-F194),2))</f>
        <v/>
      </c>
      <c r="L194" s="27">
        <f>IF(D194&lt;=0,0,ROUND(MAX(0,D194-K194),2))</f>
        <v/>
      </c>
      <c r="M194" s="28">
        <f>IF(L194&lt;=0,0,IFERROR(MATCH(TRUE,INDEX(L194:L327&lt;=0,0),0),134))</f>
        <v/>
      </c>
    </row>
    <row r="195" ht="18" customHeight="1">
      <c r="A195" s="13" t="n">
        <v>193</v>
      </c>
      <c r="B195" s="14">
        <f>IF(C195&lt;=Parametry!$C$6,DATE(Parametry!$C$12+INT((Parametry!$C$13+193-2)/12),MOD(Parametry!$C$13+193-2,12)+1,Parametry!$C$11),"")</f>
        <v/>
      </c>
      <c r="C195" s="15" t="n">
        <v>193</v>
      </c>
      <c r="D195" s="16">
        <f>IF(C195&lt;=Parametry!$C$6,L194,0)</f>
        <v/>
      </c>
      <c r="E195" s="17">
        <f>IF(OR(D195&lt;=0,C195&gt;Parametry!$C$6),0,IF(C195&lt;=Parametry!$C$9+1,Parametry!$C$8,Parametry!$C$10))</f>
        <v/>
      </c>
      <c r="F195" s="16">
        <f>IF(D195&lt;=0,0,ROUND(D195*E195/12,2))</f>
        <v/>
      </c>
      <c r="G195" s="16">
        <f>IF(OR(D195&lt;=0,C195&gt;Parametry!$C$6),0,MIN(IF(C195&lt;=Parametry!$C$9+1,Parametry!$C$7,Parametry!$C$14),ROUND(D195+F195,2)))</f>
        <v/>
      </c>
      <c r="H195" s="18" t="n"/>
      <c r="I195" s="19">
        <f>IF(OR(L195&lt;=0,C195&gt;=Parametry!$C$6),0,INDEX(G:G,ROW()+1))</f>
        <v/>
      </c>
      <c r="J195" s="20">
        <f>IF(D195&lt;=0,0,MIN(G195+N(H195),ROUND(D195+F195,2)))</f>
        <v/>
      </c>
      <c r="K195" s="16">
        <f>IF(J195&lt;=0,0,ROUND(MAX(0,J195-F195),2))</f>
        <v/>
      </c>
      <c r="L195" s="20">
        <f>IF(D195&lt;=0,0,ROUND(MAX(0,D195-K195),2))</f>
        <v/>
      </c>
      <c r="M195" s="21">
        <f>IF(L195&lt;=0,0,IFERROR(MATCH(TRUE,INDEX(L195:L327&lt;=0,0),0),133))</f>
        <v/>
      </c>
    </row>
    <row r="196" ht="18" customHeight="1">
      <c r="A196" s="22" t="n">
        <v>194</v>
      </c>
      <c r="B196" s="23">
        <f>IF(C196&lt;=Parametry!$C$6,DATE(Parametry!$C$12+INT((Parametry!$C$13+194-2)/12),MOD(Parametry!$C$13+194-2,12)+1,Parametry!$C$11),"")</f>
        <v/>
      </c>
      <c r="C196" s="24" t="n">
        <v>194</v>
      </c>
      <c r="D196" s="25">
        <f>IF(C196&lt;=Parametry!$C$6,L195,0)</f>
        <v/>
      </c>
      <c r="E196" s="26">
        <f>IF(OR(D196&lt;=0,C196&gt;Parametry!$C$6),0,IF(C196&lt;=Parametry!$C$9+1,Parametry!$C$8,Parametry!$C$10))</f>
        <v/>
      </c>
      <c r="F196" s="25">
        <f>IF(D196&lt;=0,0,ROUND(D196*E196/12,2))</f>
        <v/>
      </c>
      <c r="G196" s="25">
        <f>IF(OR(D196&lt;=0,C196&gt;Parametry!$C$6),0,MIN(IF(C196&lt;=Parametry!$C$9+1,Parametry!$C$7,Parametry!$C$14),ROUND(D196+F196,2)))</f>
        <v/>
      </c>
      <c r="H196" s="18" t="n"/>
      <c r="I196" s="19">
        <f>IF(OR(L196&lt;=0,C196&gt;=Parametry!$C$6),0,INDEX(G:G,ROW()+1))</f>
        <v/>
      </c>
      <c r="J196" s="27">
        <f>IF(D196&lt;=0,0,MIN(G196+N(H196),ROUND(D196+F196,2)))</f>
        <v/>
      </c>
      <c r="K196" s="25">
        <f>IF(J196&lt;=0,0,ROUND(MAX(0,J196-F196),2))</f>
        <v/>
      </c>
      <c r="L196" s="27">
        <f>IF(D196&lt;=0,0,ROUND(MAX(0,D196-K196),2))</f>
        <v/>
      </c>
      <c r="M196" s="28">
        <f>IF(L196&lt;=0,0,IFERROR(MATCH(TRUE,INDEX(L196:L327&lt;=0,0),0),132))</f>
        <v/>
      </c>
    </row>
    <row r="197" ht="18" customHeight="1">
      <c r="A197" s="13" t="n">
        <v>195</v>
      </c>
      <c r="B197" s="14">
        <f>IF(C197&lt;=Parametry!$C$6,DATE(Parametry!$C$12+INT((Parametry!$C$13+195-2)/12),MOD(Parametry!$C$13+195-2,12)+1,Parametry!$C$11),"")</f>
        <v/>
      </c>
      <c r="C197" s="15" t="n">
        <v>195</v>
      </c>
      <c r="D197" s="16">
        <f>IF(C197&lt;=Parametry!$C$6,L196,0)</f>
        <v/>
      </c>
      <c r="E197" s="17">
        <f>IF(OR(D197&lt;=0,C197&gt;Parametry!$C$6),0,IF(C197&lt;=Parametry!$C$9+1,Parametry!$C$8,Parametry!$C$10))</f>
        <v/>
      </c>
      <c r="F197" s="16">
        <f>IF(D197&lt;=0,0,ROUND(D197*E197/12,2))</f>
        <v/>
      </c>
      <c r="G197" s="16">
        <f>IF(OR(D197&lt;=0,C197&gt;Parametry!$C$6),0,MIN(IF(C197&lt;=Parametry!$C$9+1,Parametry!$C$7,Parametry!$C$14),ROUND(D197+F197,2)))</f>
        <v/>
      </c>
      <c r="H197" s="18" t="n"/>
      <c r="I197" s="19">
        <f>IF(OR(L197&lt;=0,C197&gt;=Parametry!$C$6),0,INDEX(G:G,ROW()+1))</f>
        <v/>
      </c>
      <c r="J197" s="20">
        <f>IF(D197&lt;=0,0,MIN(G197+N(H197),ROUND(D197+F197,2)))</f>
        <v/>
      </c>
      <c r="K197" s="16">
        <f>IF(J197&lt;=0,0,ROUND(MAX(0,J197-F197),2))</f>
        <v/>
      </c>
      <c r="L197" s="20">
        <f>IF(D197&lt;=0,0,ROUND(MAX(0,D197-K197),2))</f>
        <v/>
      </c>
      <c r="M197" s="21">
        <f>IF(L197&lt;=0,0,IFERROR(MATCH(TRUE,INDEX(L197:L327&lt;=0,0),0),131))</f>
        <v/>
      </c>
    </row>
    <row r="198" ht="18" customHeight="1">
      <c r="A198" s="22" t="n">
        <v>196</v>
      </c>
      <c r="B198" s="23">
        <f>IF(C198&lt;=Parametry!$C$6,DATE(Parametry!$C$12+INT((Parametry!$C$13+196-2)/12),MOD(Parametry!$C$13+196-2,12)+1,Parametry!$C$11),"")</f>
        <v/>
      </c>
      <c r="C198" s="24" t="n">
        <v>196</v>
      </c>
      <c r="D198" s="25">
        <f>IF(C198&lt;=Parametry!$C$6,L197,0)</f>
        <v/>
      </c>
      <c r="E198" s="26">
        <f>IF(OR(D198&lt;=0,C198&gt;Parametry!$C$6),0,IF(C198&lt;=Parametry!$C$9+1,Parametry!$C$8,Parametry!$C$10))</f>
        <v/>
      </c>
      <c r="F198" s="25">
        <f>IF(D198&lt;=0,0,ROUND(D198*E198/12,2))</f>
        <v/>
      </c>
      <c r="G198" s="25">
        <f>IF(OR(D198&lt;=0,C198&gt;Parametry!$C$6),0,MIN(IF(C198&lt;=Parametry!$C$9+1,Parametry!$C$7,Parametry!$C$14),ROUND(D198+F198,2)))</f>
        <v/>
      </c>
      <c r="H198" s="18" t="n"/>
      <c r="I198" s="19">
        <f>IF(OR(L198&lt;=0,C198&gt;=Parametry!$C$6),0,INDEX(G:G,ROW()+1))</f>
        <v/>
      </c>
      <c r="J198" s="27">
        <f>IF(D198&lt;=0,0,MIN(G198+N(H198),ROUND(D198+F198,2)))</f>
        <v/>
      </c>
      <c r="K198" s="25">
        <f>IF(J198&lt;=0,0,ROUND(MAX(0,J198-F198),2))</f>
        <v/>
      </c>
      <c r="L198" s="27">
        <f>IF(D198&lt;=0,0,ROUND(MAX(0,D198-K198),2))</f>
        <v/>
      </c>
      <c r="M198" s="28">
        <f>IF(L198&lt;=0,0,IFERROR(MATCH(TRUE,INDEX(L198:L327&lt;=0,0),0),130))</f>
        <v/>
      </c>
    </row>
    <row r="199" ht="18" customHeight="1">
      <c r="A199" s="13" t="n">
        <v>197</v>
      </c>
      <c r="B199" s="14">
        <f>IF(C199&lt;=Parametry!$C$6,DATE(Parametry!$C$12+INT((Parametry!$C$13+197-2)/12),MOD(Parametry!$C$13+197-2,12)+1,Parametry!$C$11),"")</f>
        <v/>
      </c>
      <c r="C199" s="15" t="n">
        <v>197</v>
      </c>
      <c r="D199" s="16">
        <f>IF(C199&lt;=Parametry!$C$6,L198,0)</f>
        <v/>
      </c>
      <c r="E199" s="17">
        <f>IF(OR(D199&lt;=0,C199&gt;Parametry!$C$6),0,IF(C199&lt;=Parametry!$C$9+1,Parametry!$C$8,Parametry!$C$10))</f>
        <v/>
      </c>
      <c r="F199" s="16">
        <f>IF(D199&lt;=0,0,ROUND(D199*E199/12,2))</f>
        <v/>
      </c>
      <c r="G199" s="16">
        <f>IF(OR(D199&lt;=0,C199&gt;Parametry!$C$6),0,MIN(IF(C199&lt;=Parametry!$C$9+1,Parametry!$C$7,Parametry!$C$14),ROUND(D199+F199,2)))</f>
        <v/>
      </c>
      <c r="H199" s="18" t="n"/>
      <c r="I199" s="19">
        <f>IF(OR(L199&lt;=0,C199&gt;=Parametry!$C$6),0,INDEX(G:G,ROW()+1))</f>
        <v/>
      </c>
      <c r="J199" s="20">
        <f>IF(D199&lt;=0,0,MIN(G199+N(H199),ROUND(D199+F199,2)))</f>
        <v/>
      </c>
      <c r="K199" s="16">
        <f>IF(J199&lt;=0,0,ROUND(MAX(0,J199-F199),2))</f>
        <v/>
      </c>
      <c r="L199" s="20">
        <f>IF(D199&lt;=0,0,ROUND(MAX(0,D199-K199),2))</f>
        <v/>
      </c>
      <c r="M199" s="21">
        <f>IF(L199&lt;=0,0,IFERROR(MATCH(TRUE,INDEX(L199:L327&lt;=0,0),0),129))</f>
        <v/>
      </c>
    </row>
    <row r="200" ht="18" customHeight="1">
      <c r="A200" s="22" t="n">
        <v>198</v>
      </c>
      <c r="B200" s="23">
        <f>IF(C200&lt;=Parametry!$C$6,DATE(Parametry!$C$12+INT((Parametry!$C$13+198-2)/12),MOD(Parametry!$C$13+198-2,12)+1,Parametry!$C$11),"")</f>
        <v/>
      </c>
      <c r="C200" s="24" t="n">
        <v>198</v>
      </c>
      <c r="D200" s="25">
        <f>IF(C200&lt;=Parametry!$C$6,L199,0)</f>
        <v/>
      </c>
      <c r="E200" s="26">
        <f>IF(OR(D200&lt;=0,C200&gt;Parametry!$C$6),0,IF(C200&lt;=Parametry!$C$9+1,Parametry!$C$8,Parametry!$C$10))</f>
        <v/>
      </c>
      <c r="F200" s="25">
        <f>IF(D200&lt;=0,0,ROUND(D200*E200/12,2))</f>
        <v/>
      </c>
      <c r="G200" s="25">
        <f>IF(OR(D200&lt;=0,C200&gt;Parametry!$C$6),0,MIN(IF(C200&lt;=Parametry!$C$9+1,Parametry!$C$7,Parametry!$C$14),ROUND(D200+F200,2)))</f>
        <v/>
      </c>
      <c r="H200" s="18" t="n"/>
      <c r="I200" s="19">
        <f>IF(OR(L200&lt;=0,C200&gt;=Parametry!$C$6),0,INDEX(G:G,ROW()+1))</f>
        <v/>
      </c>
      <c r="J200" s="27">
        <f>IF(D200&lt;=0,0,MIN(G200+N(H200),ROUND(D200+F200,2)))</f>
        <v/>
      </c>
      <c r="K200" s="25">
        <f>IF(J200&lt;=0,0,ROUND(MAX(0,J200-F200),2))</f>
        <v/>
      </c>
      <c r="L200" s="27">
        <f>IF(D200&lt;=0,0,ROUND(MAX(0,D200-K200),2))</f>
        <v/>
      </c>
      <c r="M200" s="28">
        <f>IF(L200&lt;=0,0,IFERROR(MATCH(TRUE,INDEX(L200:L327&lt;=0,0),0),128))</f>
        <v/>
      </c>
    </row>
    <row r="201" ht="18" customHeight="1">
      <c r="A201" s="13" t="n">
        <v>199</v>
      </c>
      <c r="B201" s="14">
        <f>IF(C201&lt;=Parametry!$C$6,DATE(Parametry!$C$12+INT((Parametry!$C$13+199-2)/12),MOD(Parametry!$C$13+199-2,12)+1,Parametry!$C$11),"")</f>
        <v/>
      </c>
      <c r="C201" s="15" t="n">
        <v>199</v>
      </c>
      <c r="D201" s="16">
        <f>IF(C201&lt;=Parametry!$C$6,L200,0)</f>
        <v/>
      </c>
      <c r="E201" s="17">
        <f>IF(OR(D201&lt;=0,C201&gt;Parametry!$C$6),0,IF(C201&lt;=Parametry!$C$9+1,Parametry!$C$8,Parametry!$C$10))</f>
        <v/>
      </c>
      <c r="F201" s="16">
        <f>IF(D201&lt;=0,0,ROUND(D201*E201/12,2))</f>
        <v/>
      </c>
      <c r="G201" s="16">
        <f>IF(OR(D201&lt;=0,C201&gt;Parametry!$C$6),0,MIN(IF(C201&lt;=Parametry!$C$9+1,Parametry!$C$7,Parametry!$C$14),ROUND(D201+F201,2)))</f>
        <v/>
      </c>
      <c r="H201" s="18" t="n"/>
      <c r="I201" s="19">
        <f>IF(OR(L201&lt;=0,C201&gt;=Parametry!$C$6),0,INDEX(G:G,ROW()+1))</f>
        <v/>
      </c>
      <c r="J201" s="20">
        <f>IF(D201&lt;=0,0,MIN(G201+N(H201),ROUND(D201+F201,2)))</f>
        <v/>
      </c>
      <c r="K201" s="16">
        <f>IF(J201&lt;=0,0,ROUND(MAX(0,J201-F201),2))</f>
        <v/>
      </c>
      <c r="L201" s="20">
        <f>IF(D201&lt;=0,0,ROUND(MAX(0,D201-K201),2))</f>
        <v/>
      </c>
      <c r="M201" s="21">
        <f>IF(L201&lt;=0,0,IFERROR(MATCH(TRUE,INDEX(L201:L327&lt;=0,0),0),127))</f>
        <v/>
      </c>
    </row>
    <row r="202" ht="18" customHeight="1">
      <c r="A202" s="22" t="n">
        <v>200</v>
      </c>
      <c r="B202" s="23">
        <f>IF(C202&lt;=Parametry!$C$6,DATE(Parametry!$C$12+INT((Parametry!$C$13+200-2)/12),MOD(Parametry!$C$13+200-2,12)+1,Parametry!$C$11),"")</f>
        <v/>
      </c>
      <c r="C202" s="24" t="n">
        <v>200</v>
      </c>
      <c r="D202" s="25">
        <f>IF(C202&lt;=Parametry!$C$6,L201,0)</f>
        <v/>
      </c>
      <c r="E202" s="26">
        <f>IF(OR(D202&lt;=0,C202&gt;Parametry!$C$6),0,IF(C202&lt;=Parametry!$C$9+1,Parametry!$C$8,Parametry!$C$10))</f>
        <v/>
      </c>
      <c r="F202" s="25">
        <f>IF(D202&lt;=0,0,ROUND(D202*E202/12,2))</f>
        <v/>
      </c>
      <c r="G202" s="25">
        <f>IF(OR(D202&lt;=0,C202&gt;Parametry!$C$6),0,MIN(IF(C202&lt;=Parametry!$C$9+1,Parametry!$C$7,Parametry!$C$14),ROUND(D202+F202,2)))</f>
        <v/>
      </c>
      <c r="H202" s="18" t="n"/>
      <c r="I202" s="19">
        <f>IF(OR(L202&lt;=0,C202&gt;=Parametry!$C$6),0,INDEX(G:G,ROW()+1))</f>
        <v/>
      </c>
      <c r="J202" s="27">
        <f>IF(D202&lt;=0,0,MIN(G202+N(H202),ROUND(D202+F202,2)))</f>
        <v/>
      </c>
      <c r="K202" s="25">
        <f>IF(J202&lt;=0,0,ROUND(MAX(0,J202-F202),2))</f>
        <v/>
      </c>
      <c r="L202" s="27">
        <f>IF(D202&lt;=0,0,ROUND(MAX(0,D202-K202),2))</f>
        <v/>
      </c>
      <c r="M202" s="28">
        <f>IF(L202&lt;=0,0,IFERROR(MATCH(TRUE,INDEX(L202:L327&lt;=0,0),0),126))</f>
        <v/>
      </c>
    </row>
    <row r="203" ht="18" customHeight="1">
      <c r="A203" s="13" t="n">
        <v>201</v>
      </c>
      <c r="B203" s="14">
        <f>IF(C203&lt;=Parametry!$C$6,DATE(Parametry!$C$12+INT((Parametry!$C$13+201-2)/12),MOD(Parametry!$C$13+201-2,12)+1,Parametry!$C$11),"")</f>
        <v/>
      </c>
      <c r="C203" s="15" t="n">
        <v>201</v>
      </c>
      <c r="D203" s="16">
        <f>IF(C203&lt;=Parametry!$C$6,L202,0)</f>
        <v/>
      </c>
      <c r="E203" s="17">
        <f>IF(OR(D203&lt;=0,C203&gt;Parametry!$C$6),0,IF(C203&lt;=Parametry!$C$9+1,Parametry!$C$8,Parametry!$C$10))</f>
        <v/>
      </c>
      <c r="F203" s="16">
        <f>IF(D203&lt;=0,0,ROUND(D203*E203/12,2))</f>
        <v/>
      </c>
      <c r="G203" s="16">
        <f>IF(OR(D203&lt;=0,C203&gt;Parametry!$C$6),0,MIN(IF(C203&lt;=Parametry!$C$9+1,Parametry!$C$7,Parametry!$C$14),ROUND(D203+F203,2)))</f>
        <v/>
      </c>
      <c r="H203" s="18" t="n"/>
      <c r="I203" s="19">
        <f>IF(OR(L203&lt;=0,C203&gt;=Parametry!$C$6),0,INDEX(G:G,ROW()+1))</f>
        <v/>
      </c>
      <c r="J203" s="20">
        <f>IF(D203&lt;=0,0,MIN(G203+N(H203),ROUND(D203+F203,2)))</f>
        <v/>
      </c>
      <c r="K203" s="16">
        <f>IF(J203&lt;=0,0,ROUND(MAX(0,J203-F203),2))</f>
        <v/>
      </c>
      <c r="L203" s="20">
        <f>IF(D203&lt;=0,0,ROUND(MAX(0,D203-K203),2))</f>
        <v/>
      </c>
      <c r="M203" s="21">
        <f>IF(L203&lt;=0,0,IFERROR(MATCH(TRUE,INDEX(L203:L327&lt;=0,0),0),125))</f>
        <v/>
      </c>
    </row>
    <row r="204" ht="18" customHeight="1">
      <c r="A204" s="22" t="n">
        <v>202</v>
      </c>
      <c r="B204" s="23">
        <f>IF(C204&lt;=Parametry!$C$6,DATE(Parametry!$C$12+INT((Parametry!$C$13+202-2)/12),MOD(Parametry!$C$13+202-2,12)+1,Parametry!$C$11),"")</f>
        <v/>
      </c>
      <c r="C204" s="24" t="n">
        <v>202</v>
      </c>
      <c r="D204" s="25">
        <f>IF(C204&lt;=Parametry!$C$6,L203,0)</f>
        <v/>
      </c>
      <c r="E204" s="26">
        <f>IF(OR(D204&lt;=0,C204&gt;Parametry!$C$6),0,IF(C204&lt;=Parametry!$C$9+1,Parametry!$C$8,Parametry!$C$10))</f>
        <v/>
      </c>
      <c r="F204" s="25">
        <f>IF(D204&lt;=0,0,ROUND(D204*E204/12,2))</f>
        <v/>
      </c>
      <c r="G204" s="25">
        <f>IF(OR(D204&lt;=0,C204&gt;Parametry!$C$6),0,MIN(IF(C204&lt;=Parametry!$C$9+1,Parametry!$C$7,Parametry!$C$14),ROUND(D204+F204,2)))</f>
        <v/>
      </c>
      <c r="H204" s="18" t="n"/>
      <c r="I204" s="19">
        <f>IF(OR(L204&lt;=0,C204&gt;=Parametry!$C$6),0,INDEX(G:G,ROW()+1))</f>
        <v/>
      </c>
      <c r="J204" s="27">
        <f>IF(D204&lt;=0,0,MIN(G204+N(H204),ROUND(D204+F204,2)))</f>
        <v/>
      </c>
      <c r="K204" s="25">
        <f>IF(J204&lt;=0,0,ROUND(MAX(0,J204-F204),2))</f>
        <v/>
      </c>
      <c r="L204" s="27">
        <f>IF(D204&lt;=0,0,ROUND(MAX(0,D204-K204),2))</f>
        <v/>
      </c>
      <c r="M204" s="28">
        <f>IF(L204&lt;=0,0,IFERROR(MATCH(TRUE,INDEX(L204:L327&lt;=0,0),0),124))</f>
        <v/>
      </c>
    </row>
    <row r="205" ht="18" customHeight="1">
      <c r="A205" s="13" t="n">
        <v>203</v>
      </c>
      <c r="B205" s="14">
        <f>IF(C205&lt;=Parametry!$C$6,DATE(Parametry!$C$12+INT((Parametry!$C$13+203-2)/12),MOD(Parametry!$C$13+203-2,12)+1,Parametry!$C$11),"")</f>
        <v/>
      </c>
      <c r="C205" s="15" t="n">
        <v>203</v>
      </c>
      <c r="D205" s="16">
        <f>IF(C205&lt;=Parametry!$C$6,L204,0)</f>
        <v/>
      </c>
      <c r="E205" s="17">
        <f>IF(OR(D205&lt;=0,C205&gt;Parametry!$C$6),0,IF(C205&lt;=Parametry!$C$9+1,Parametry!$C$8,Parametry!$C$10))</f>
        <v/>
      </c>
      <c r="F205" s="16">
        <f>IF(D205&lt;=0,0,ROUND(D205*E205/12,2))</f>
        <v/>
      </c>
      <c r="G205" s="16">
        <f>IF(OR(D205&lt;=0,C205&gt;Parametry!$C$6),0,MIN(IF(C205&lt;=Parametry!$C$9+1,Parametry!$C$7,Parametry!$C$14),ROUND(D205+F205,2)))</f>
        <v/>
      </c>
      <c r="H205" s="18" t="n"/>
      <c r="I205" s="19">
        <f>IF(OR(L205&lt;=0,C205&gt;=Parametry!$C$6),0,INDEX(G:G,ROW()+1))</f>
        <v/>
      </c>
      <c r="J205" s="20">
        <f>IF(D205&lt;=0,0,MIN(G205+N(H205),ROUND(D205+F205,2)))</f>
        <v/>
      </c>
      <c r="K205" s="16">
        <f>IF(J205&lt;=0,0,ROUND(MAX(0,J205-F205),2))</f>
        <v/>
      </c>
      <c r="L205" s="20">
        <f>IF(D205&lt;=0,0,ROUND(MAX(0,D205-K205),2))</f>
        <v/>
      </c>
      <c r="M205" s="21">
        <f>IF(L205&lt;=0,0,IFERROR(MATCH(TRUE,INDEX(L205:L327&lt;=0,0),0),123))</f>
        <v/>
      </c>
    </row>
    <row r="206" ht="18" customHeight="1">
      <c r="A206" s="22" t="n">
        <v>204</v>
      </c>
      <c r="B206" s="23">
        <f>IF(C206&lt;=Parametry!$C$6,DATE(Parametry!$C$12+INT((Parametry!$C$13+204-2)/12),MOD(Parametry!$C$13+204-2,12)+1,Parametry!$C$11),"")</f>
        <v/>
      </c>
      <c r="C206" s="24" t="n">
        <v>204</v>
      </c>
      <c r="D206" s="25">
        <f>IF(C206&lt;=Parametry!$C$6,L205,0)</f>
        <v/>
      </c>
      <c r="E206" s="26">
        <f>IF(OR(D206&lt;=0,C206&gt;Parametry!$C$6),0,IF(C206&lt;=Parametry!$C$9+1,Parametry!$C$8,Parametry!$C$10))</f>
        <v/>
      </c>
      <c r="F206" s="25">
        <f>IF(D206&lt;=0,0,ROUND(D206*E206/12,2))</f>
        <v/>
      </c>
      <c r="G206" s="25">
        <f>IF(OR(D206&lt;=0,C206&gt;Parametry!$C$6),0,MIN(IF(C206&lt;=Parametry!$C$9+1,Parametry!$C$7,Parametry!$C$14),ROUND(D206+F206,2)))</f>
        <v/>
      </c>
      <c r="H206" s="18" t="n"/>
      <c r="I206" s="19">
        <f>IF(OR(L206&lt;=0,C206&gt;=Parametry!$C$6),0,INDEX(G:G,ROW()+1))</f>
        <v/>
      </c>
      <c r="J206" s="27">
        <f>IF(D206&lt;=0,0,MIN(G206+N(H206),ROUND(D206+F206,2)))</f>
        <v/>
      </c>
      <c r="K206" s="25">
        <f>IF(J206&lt;=0,0,ROUND(MAX(0,J206-F206),2))</f>
        <v/>
      </c>
      <c r="L206" s="27">
        <f>IF(D206&lt;=0,0,ROUND(MAX(0,D206-K206),2))</f>
        <v/>
      </c>
      <c r="M206" s="28">
        <f>IF(L206&lt;=0,0,IFERROR(MATCH(TRUE,INDEX(L206:L327&lt;=0,0),0),122))</f>
        <v/>
      </c>
    </row>
    <row r="207" ht="18" customHeight="1">
      <c r="A207" s="13" t="n">
        <v>205</v>
      </c>
      <c r="B207" s="14">
        <f>IF(C207&lt;=Parametry!$C$6,DATE(Parametry!$C$12+INT((Parametry!$C$13+205-2)/12),MOD(Parametry!$C$13+205-2,12)+1,Parametry!$C$11),"")</f>
        <v/>
      </c>
      <c r="C207" s="15" t="n">
        <v>205</v>
      </c>
      <c r="D207" s="16">
        <f>IF(C207&lt;=Parametry!$C$6,L206,0)</f>
        <v/>
      </c>
      <c r="E207" s="17">
        <f>IF(OR(D207&lt;=0,C207&gt;Parametry!$C$6),0,IF(C207&lt;=Parametry!$C$9+1,Parametry!$C$8,Parametry!$C$10))</f>
        <v/>
      </c>
      <c r="F207" s="16">
        <f>IF(D207&lt;=0,0,ROUND(D207*E207/12,2))</f>
        <v/>
      </c>
      <c r="G207" s="16">
        <f>IF(OR(D207&lt;=0,C207&gt;Parametry!$C$6),0,MIN(IF(C207&lt;=Parametry!$C$9+1,Parametry!$C$7,Parametry!$C$14),ROUND(D207+F207,2)))</f>
        <v/>
      </c>
      <c r="H207" s="18" t="n"/>
      <c r="I207" s="19">
        <f>IF(OR(L207&lt;=0,C207&gt;=Parametry!$C$6),0,INDEX(G:G,ROW()+1))</f>
        <v/>
      </c>
      <c r="J207" s="20">
        <f>IF(D207&lt;=0,0,MIN(G207+N(H207),ROUND(D207+F207,2)))</f>
        <v/>
      </c>
      <c r="K207" s="16">
        <f>IF(J207&lt;=0,0,ROUND(MAX(0,J207-F207),2))</f>
        <v/>
      </c>
      <c r="L207" s="20">
        <f>IF(D207&lt;=0,0,ROUND(MAX(0,D207-K207),2))</f>
        <v/>
      </c>
      <c r="M207" s="21">
        <f>IF(L207&lt;=0,0,IFERROR(MATCH(TRUE,INDEX(L207:L327&lt;=0,0),0),121))</f>
        <v/>
      </c>
    </row>
    <row r="208" ht="18" customHeight="1">
      <c r="A208" s="22" t="n">
        <v>206</v>
      </c>
      <c r="B208" s="23">
        <f>IF(C208&lt;=Parametry!$C$6,DATE(Parametry!$C$12+INT((Parametry!$C$13+206-2)/12),MOD(Parametry!$C$13+206-2,12)+1,Parametry!$C$11),"")</f>
        <v/>
      </c>
      <c r="C208" s="24" t="n">
        <v>206</v>
      </c>
      <c r="D208" s="25">
        <f>IF(C208&lt;=Parametry!$C$6,L207,0)</f>
        <v/>
      </c>
      <c r="E208" s="26">
        <f>IF(OR(D208&lt;=0,C208&gt;Parametry!$C$6),0,IF(C208&lt;=Parametry!$C$9+1,Parametry!$C$8,Parametry!$C$10))</f>
        <v/>
      </c>
      <c r="F208" s="25">
        <f>IF(D208&lt;=0,0,ROUND(D208*E208/12,2))</f>
        <v/>
      </c>
      <c r="G208" s="25">
        <f>IF(OR(D208&lt;=0,C208&gt;Parametry!$C$6),0,MIN(IF(C208&lt;=Parametry!$C$9+1,Parametry!$C$7,Parametry!$C$14),ROUND(D208+F208,2)))</f>
        <v/>
      </c>
      <c r="H208" s="18" t="n"/>
      <c r="I208" s="19">
        <f>IF(OR(L208&lt;=0,C208&gt;=Parametry!$C$6),0,INDEX(G:G,ROW()+1))</f>
        <v/>
      </c>
      <c r="J208" s="27">
        <f>IF(D208&lt;=0,0,MIN(G208+N(H208),ROUND(D208+F208,2)))</f>
        <v/>
      </c>
      <c r="K208" s="25">
        <f>IF(J208&lt;=0,0,ROUND(MAX(0,J208-F208),2))</f>
        <v/>
      </c>
      <c r="L208" s="27">
        <f>IF(D208&lt;=0,0,ROUND(MAX(0,D208-K208),2))</f>
        <v/>
      </c>
      <c r="M208" s="28">
        <f>IF(L208&lt;=0,0,IFERROR(MATCH(TRUE,INDEX(L208:L327&lt;=0,0),0),120))</f>
        <v/>
      </c>
    </row>
    <row r="209" ht="18" customHeight="1">
      <c r="A209" s="13" t="n">
        <v>207</v>
      </c>
      <c r="B209" s="14">
        <f>IF(C209&lt;=Parametry!$C$6,DATE(Parametry!$C$12+INT((Parametry!$C$13+207-2)/12),MOD(Parametry!$C$13+207-2,12)+1,Parametry!$C$11),"")</f>
        <v/>
      </c>
      <c r="C209" s="15" t="n">
        <v>207</v>
      </c>
      <c r="D209" s="16">
        <f>IF(C209&lt;=Parametry!$C$6,L208,0)</f>
        <v/>
      </c>
      <c r="E209" s="17">
        <f>IF(OR(D209&lt;=0,C209&gt;Parametry!$C$6),0,IF(C209&lt;=Parametry!$C$9+1,Parametry!$C$8,Parametry!$C$10))</f>
        <v/>
      </c>
      <c r="F209" s="16">
        <f>IF(D209&lt;=0,0,ROUND(D209*E209/12,2))</f>
        <v/>
      </c>
      <c r="G209" s="16">
        <f>IF(OR(D209&lt;=0,C209&gt;Parametry!$C$6),0,MIN(IF(C209&lt;=Parametry!$C$9+1,Parametry!$C$7,Parametry!$C$14),ROUND(D209+F209,2)))</f>
        <v/>
      </c>
      <c r="H209" s="18" t="n"/>
      <c r="I209" s="19">
        <f>IF(OR(L209&lt;=0,C209&gt;=Parametry!$C$6),0,INDEX(G:G,ROW()+1))</f>
        <v/>
      </c>
      <c r="J209" s="20">
        <f>IF(D209&lt;=0,0,MIN(G209+N(H209),ROUND(D209+F209,2)))</f>
        <v/>
      </c>
      <c r="K209" s="16">
        <f>IF(J209&lt;=0,0,ROUND(MAX(0,J209-F209),2))</f>
        <v/>
      </c>
      <c r="L209" s="20">
        <f>IF(D209&lt;=0,0,ROUND(MAX(0,D209-K209),2))</f>
        <v/>
      </c>
      <c r="M209" s="21">
        <f>IF(L209&lt;=0,0,IFERROR(MATCH(TRUE,INDEX(L209:L327&lt;=0,0),0),119))</f>
        <v/>
      </c>
    </row>
    <row r="210" ht="18" customHeight="1">
      <c r="A210" s="22" t="n">
        <v>208</v>
      </c>
      <c r="B210" s="23">
        <f>IF(C210&lt;=Parametry!$C$6,DATE(Parametry!$C$12+INT((Parametry!$C$13+208-2)/12),MOD(Parametry!$C$13+208-2,12)+1,Parametry!$C$11),"")</f>
        <v/>
      </c>
      <c r="C210" s="24" t="n">
        <v>208</v>
      </c>
      <c r="D210" s="25">
        <f>IF(C210&lt;=Parametry!$C$6,L209,0)</f>
        <v/>
      </c>
      <c r="E210" s="26">
        <f>IF(OR(D210&lt;=0,C210&gt;Parametry!$C$6),0,IF(C210&lt;=Parametry!$C$9+1,Parametry!$C$8,Parametry!$C$10))</f>
        <v/>
      </c>
      <c r="F210" s="25">
        <f>IF(D210&lt;=0,0,ROUND(D210*E210/12,2))</f>
        <v/>
      </c>
      <c r="G210" s="25">
        <f>IF(OR(D210&lt;=0,C210&gt;Parametry!$C$6),0,MIN(IF(C210&lt;=Parametry!$C$9+1,Parametry!$C$7,Parametry!$C$14),ROUND(D210+F210,2)))</f>
        <v/>
      </c>
      <c r="H210" s="18" t="n"/>
      <c r="I210" s="19">
        <f>IF(OR(L210&lt;=0,C210&gt;=Parametry!$C$6),0,INDEX(G:G,ROW()+1))</f>
        <v/>
      </c>
      <c r="J210" s="27">
        <f>IF(D210&lt;=0,0,MIN(G210+N(H210),ROUND(D210+F210,2)))</f>
        <v/>
      </c>
      <c r="K210" s="25">
        <f>IF(J210&lt;=0,0,ROUND(MAX(0,J210-F210),2))</f>
        <v/>
      </c>
      <c r="L210" s="27">
        <f>IF(D210&lt;=0,0,ROUND(MAX(0,D210-K210),2))</f>
        <v/>
      </c>
      <c r="M210" s="28">
        <f>IF(L210&lt;=0,0,IFERROR(MATCH(TRUE,INDEX(L210:L327&lt;=0,0),0),118))</f>
        <v/>
      </c>
    </row>
    <row r="211" ht="18" customHeight="1">
      <c r="A211" s="13" t="n">
        <v>209</v>
      </c>
      <c r="B211" s="14">
        <f>IF(C211&lt;=Parametry!$C$6,DATE(Parametry!$C$12+INT((Parametry!$C$13+209-2)/12),MOD(Parametry!$C$13+209-2,12)+1,Parametry!$C$11),"")</f>
        <v/>
      </c>
      <c r="C211" s="15" t="n">
        <v>209</v>
      </c>
      <c r="D211" s="16">
        <f>IF(C211&lt;=Parametry!$C$6,L210,0)</f>
        <v/>
      </c>
      <c r="E211" s="17">
        <f>IF(OR(D211&lt;=0,C211&gt;Parametry!$C$6),0,IF(C211&lt;=Parametry!$C$9+1,Parametry!$C$8,Parametry!$C$10))</f>
        <v/>
      </c>
      <c r="F211" s="16">
        <f>IF(D211&lt;=0,0,ROUND(D211*E211/12,2))</f>
        <v/>
      </c>
      <c r="G211" s="16">
        <f>IF(OR(D211&lt;=0,C211&gt;Parametry!$C$6),0,MIN(IF(C211&lt;=Parametry!$C$9+1,Parametry!$C$7,Parametry!$C$14),ROUND(D211+F211,2)))</f>
        <v/>
      </c>
      <c r="H211" s="18" t="n"/>
      <c r="I211" s="19">
        <f>IF(OR(L211&lt;=0,C211&gt;=Parametry!$C$6),0,INDEX(G:G,ROW()+1))</f>
        <v/>
      </c>
      <c r="J211" s="20">
        <f>IF(D211&lt;=0,0,MIN(G211+N(H211),ROUND(D211+F211,2)))</f>
        <v/>
      </c>
      <c r="K211" s="16">
        <f>IF(J211&lt;=0,0,ROUND(MAX(0,J211-F211),2))</f>
        <v/>
      </c>
      <c r="L211" s="20">
        <f>IF(D211&lt;=0,0,ROUND(MAX(0,D211-K211),2))</f>
        <v/>
      </c>
      <c r="M211" s="21">
        <f>IF(L211&lt;=0,0,IFERROR(MATCH(TRUE,INDEX(L211:L327&lt;=0,0),0),117))</f>
        <v/>
      </c>
    </row>
    <row r="212" ht="18" customHeight="1">
      <c r="A212" s="22" t="n">
        <v>210</v>
      </c>
      <c r="B212" s="23">
        <f>IF(C212&lt;=Parametry!$C$6,DATE(Parametry!$C$12+INT((Parametry!$C$13+210-2)/12),MOD(Parametry!$C$13+210-2,12)+1,Parametry!$C$11),"")</f>
        <v/>
      </c>
      <c r="C212" s="24" t="n">
        <v>210</v>
      </c>
      <c r="D212" s="25">
        <f>IF(C212&lt;=Parametry!$C$6,L211,0)</f>
        <v/>
      </c>
      <c r="E212" s="26">
        <f>IF(OR(D212&lt;=0,C212&gt;Parametry!$C$6),0,IF(C212&lt;=Parametry!$C$9+1,Parametry!$C$8,Parametry!$C$10))</f>
        <v/>
      </c>
      <c r="F212" s="25">
        <f>IF(D212&lt;=0,0,ROUND(D212*E212/12,2))</f>
        <v/>
      </c>
      <c r="G212" s="25">
        <f>IF(OR(D212&lt;=0,C212&gt;Parametry!$C$6),0,MIN(IF(C212&lt;=Parametry!$C$9+1,Parametry!$C$7,Parametry!$C$14),ROUND(D212+F212,2)))</f>
        <v/>
      </c>
      <c r="H212" s="18" t="n"/>
      <c r="I212" s="19">
        <f>IF(OR(L212&lt;=0,C212&gt;=Parametry!$C$6),0,INDEX(G:G,ROW()+1))</f>
        <v/>
      </c>
      <c r="J212" s="27">
        <f>IF(D212&lt;=0,0,MIN(G212+N(H212),ROUND(D212+F212,2)))</f>
        <v/>
      </c>
      <c r="K212" s="25">
        <f>IF(J212&lt;=0,0,ROUND(MAX(0,J212-F212),2))</f>
        <v/>
      </c>
      <c r="L212" s="27">
        <f>IF(D212&lt;=0,0,ROUND(MAX(0,D212-K212),2))</f>
        <v/>
      </c>
      <c r="M212" s="28">
        <f>IF(L212&lt;=0,0,IFERROR(MATCH(TRUE,INDEX(L212:L327&lt;=0,0),0),116))</f>
        <v/>
      </c>
    </row>
    <row r="213" ht="18" customHeight="1">
      <c r="A213" s="13" t="n">
        <v>211</v>
      </c>
      <c r="B213" s="14">
        <f>IF(C213&lt;=Parametry!$C$6,DATE(Parametry!$C$12+INT((Parametry!$C$13+211-2)/12),MOD(Parametry!$C$13+211-2,12)+1,Parametry!$C$11),"")</f>
        <v/>
      </c>
      <c r="C213" s="15" t="n">
        <v>211</v>
      </c>
      <c r="D213" s="16">
        <f>IF(C213&lt;=Parametry!$C$6,L212,0)</f>
        <v/>
      </c>
      <c r="E213" s="17">
        <f>IF(OR(D213&lt;=0,C213&gt;Parametry!$C$6),0,IF(C213&lt;=Parametry!$C$9+1,Parametry!$C$8,Parametry!$C$10))</f>
        <v/>
      </c>
      <c r="F213" s="16">
        <f>IF(D213&lt;=0,0,ROUND(D213*E213/12,2))</f>
        <v/>
      </c>
      <c r="G213" s="16">
        <f>IF(OR(D213&lt;=0,C213&gt;Parametry!$C$6),0,MIN(IF(C213&lt;=Parametry!$C$9+1,Parametry!$C$7,Parametry!$C$14),ROUND(D213+F213,2)))</f>
        <v/>
      </c>
      <c r="H213" s="18" t="n"/>
      <c r="I213" s="19">
        <f>IF(OR(L213&lt;=0,C213&gt;=Parametry!$C$6),0,INDEX(G:G,ROW()+1))</f>
        <v/>
      </c>
      <c r="J213" s="20">
        <f>IF(D213&lt;=0,0,MIN(G213+N(H213),ROUND(D213+F213,2)))</f>
        <v/>
      </c>
      <c r="K213" s="16">
        <f>IF(J213&lt;=0,0,ROUND(MAX(0,J213-F213),2))</f>
        <v/>
      </c>
      <c r="L213" s="20">
        <f>IF(D213&lt;=0,0,ROUND(MAX(0,D213-K213),2))</f>
        <v/>
      </c>
      <c r="M213" s="21">
        <f>IF(L213&lt;=0,0,IFERROR(MATCH(TRUE,INDEX(L213:L327&lt;=0,0),0),115))</f>
        <v/>
      </c>
    </row>
    <row r="214" ht="18" customHeight="1">
      <c r="A214" s="22" t="n">
        <v>212</v>
      </c>
      <c r="B214" s="23">
        <f>IF(C214&lt;=Parametry!$C$6,DATE(Parametry!$C$12+INT((Parametry!$C$13+212-2)/12),MOD(Parametry!$C$13+212-2,12)+1,Parametry!$C$11),"")</f>
        <v/>
      </c>
      <c r="C214" s="24" t="n">
        <v>212</v>
      </c>
      <c r="D214" s="25">
        <f>IF(C214&lt;=Parametry!$C$6,L213,0)</f>
        <v/>
      </c>
      <c r="E214" s="26">
        <f>IF(OR(D214&lt;=0,C214&gt;Parametry!$C$6),0,IF(C214&lt;=Parametry!$C$9+1,Parametry!$C$8,Parametry!$C$10))</f>
        <v/>
      </c>
      <c r="F214" s="25">
        <f>IF(D214&lt;=0,0,ROUND(D214*E214/12,2))</f>
        <v/>
      </c>
      <c r="G214" s="25">
        <f>IF(OR(D214&lt;=0,C214&gt;Parametry!$C$6),0,MIN(IF(C214&lt;=Parametry!$C$9+1,Parametry!$C$7,Parametry!$C$14),ROUND(D214+F214,2)))</f>
        <v/>
      </c>
      <c r="H214" s="18" t="n"/>
      <c r="I214" s="19">
        <f>IF(OR(L214&lt;=0,C214&gt;=Parametry!$C$6),0,INDEX(G:G,ROW()+1))</f>
        <v/>
      </c>
      <c r="J214" s="27">
        <f>IF(D214&lt;=0,0,MIN(G214+N(H214),ROUND(D214+F214,2)))</f>
        <v/>
      </c>
      <c r="K214" s="25">
        <f>IF(J214&lt;=0,0,ROUND(MAX(0,J214-F214),2))</f>
        <v/>
      </c>
      <c r="L214" s="27">
        <f>IF(D214&lt;=0,0,ROUND(MAX(0,D214-K214),2))</f>
        <v/>
      </c>
      <c r="M214" s="28">
        <f>IF(L214&lt;=0,0,IFERROR(MATCH(TRUE,INDEX(L214:L327&lt;=0,0),0),114))</f>
        <v/>
      </c>
    </row>
    <row r="215" ht="18" customHeight="1">
      <c r="A215" s="13" t="n">
        <v>213</v>
      </c>
      <c r="B215" s="14">
        <f>IF(C215&lt;=Parametry!$C$6,DATE(Parametry!$C$12+INT((Parametry!$C$13+213-2)/12),MOD(Parametry!$C$13+213-2,12)+1,Parametry!$C$11),"")</f>
        <v/>
      </c>
      <c r="C215" s="15" t="n">
        <v>213</v>
      </c>
      <c r="D215" s="16">
        <f>IF(C215&lt;=Parametry!$C$6,L214,0)</f>
        <v/>
      </c>
      <c r="E215" s="17">
        <f>IF(OR(D215&lt;=0,C215&gt;Parametry!$C$6),0,IF(C215&lt;=Parametry!$C$9+1,Parametry!$C$8,Parametry!$C$10))</f>
        <v/>
      </c>
      <c r="F215" s="16">
        <f>IF(D215&lt;=0,0,ROUND(D215*E215/12,2))</f>
        <v/>
      </c>
      <c r="G215" s="16">
        <f>IF(OR(D215&lt;=0,C215&gt;Parametry!$C$6),0,MIN(IF(C215&lt;=Parametry!$C$9+1,Parametry!$C$7,Parametry!$C$14),ROUND(D215+F215,2)))</f>
        <v/>
      </c>
      <c r="H215" s="18" t="n"/>
      <c r="I215" s="19">
        <f>IF(OR(L215&lt;=0,C215&gt;=Parametry!$C$6),0,INDEX(G:G,ROW()+1))</f>
        <v/>
      </c>
      <c r="J215" s="20">
        <f>IF(D215&lt;=0,0,MIN(G215+N(H215),ROUND(D215+F215,2)))</f>
        <v/>
      </c>
      <c r="K215" s="16">
        <f>IF(J215&lt;=0,0,ROUND(MAX(0,J215-F215),2))</f>
        <v/>
      </c>
      <c r="L215" s="20">
        <f>IF(D215&lt;=0,0,ROUND(MAX(0,D215-K215),2))</f>
        <v/>
      </c>
      <c r="M215" s="21">
        <f>IF(L215&lt;=0,0,IFERROR(MATCH(TRUE,INDEX(L215:L327&lt;=0,0),0),113))</f>
        <v/>
      </c>
    </row>
    <row r="216" ht="18" customHeight="1">
      <c r="A216" s="22" t="n">
        <v>214</v>
      </c>
      <c r="B216" s="23">
        <f>IF(C216&lt;=Parametry!$C$6,DATE(Parametry!$C$12+INT((Parametry!$C$13+214-2)/12),MOD(Parametry!$C$13+214-2,12)+1,Parametry!$C$11),"")</f>
        <v/>
      </c>
      <c r="C216" s="24" t="n">
        <v>214</v>
      </c>
      <c r="D216" s="25">
        <f>IF(C216&lt;=Parametry!$C$6,L215,0)</f>
        <v/>
      </c>
      <c r="E216" s="26">
        <f>IF(OR(D216&lt;=0,C216&gt;Parametry!$C$6),0,IF(C216&lt;=Parametry!$C$9+1,Parametry!$C$8,Parametry!$C$10))</f>
        <v/>
      </c>
      <c r="F216" s="25">
        <f>IF(D216&lt;=0,0,ROUND(D216*E216/12,2))</f>
        <v/>
      </c>
      <c r="G216" s="25">
        <f>IF(OR(D216&lt;=0,C216&gt;Parametry!$C$6),0,MIN(IF(C216&lt;=Parametry!$C$9+1,Parametry!$C$7,Parametry!$C$14),ROUND(D216+F216,2)))</f>
        <v/>
      </c>
      <c r="H216" s="18" t="n"/>
      <c r="I216" s="19">
        <f>IF(OR(L216&lt;=0,C216&gt;=Parametry!$C$6),0,INDEX(G:G,ROW()+1))</f>
        <v/>
      </c>
      <c r="J216" s="27">
        <f>IF(D216&lt;=0,0,MIN(G216+N(H216),ROUND(D216+F216,2)))</f>
        <v/>
      </c>
      <c r="K216" s="25">
        <f>IF(J216&lt;=0,0,ROUND(MAX(0,J216-F216),2))</f>
        <v/>
      </c>
      <c r="L216" s="27">
        <f>IF(D216&lt;=0,0,ROUND(MAX(0,D216-K216),2))</f>
        <v/>
      </c>
      <c r="M216" s="28">
        <f>IF(L216&lt;=0,0,IFERROR(MATCH(TRUE,INDEX(L216:L327&lt;=0,0),0),112))</f>
        <v/>
      </c>
    </row>
    <row r="217" ht="18" customHeight="1">
      <c r="A217" s="13" t="n">
        <v>215</v>
      </c>
      <c r="B217" s="14">
        <f>IF(C217&lt;=Parametry!$C$6,DATE(Parametry!$C$12+INT((Parametry!$C$13+215-2)/12),MOD(Parametry!$C$13+215-2,12)+1,Parametry!$C$11),"")</f>
        <v/>
      </c>
      <c r="C217" s="15" t="n">
        <v>215</v>
      </c>
      <c r="D217" s="16">
        <f>IF(C217&lt;=Parametry!$C$6,L216,0)</f>
        <v/>
      </c>
      <c r="E217" s="17">
        <f>IF(OR(D217&lt;=0,C217&gt;Parametry!$C$6),0,IF(C217&lt;=Parametry!$C$9+1,Parametry!$C$8,Parametry!$C$10))</f>
        <v/>
      </c>
      <c r="F217" s="16">
        <f>IF(D217&lt;=0,0,ROUND(D217*E217/12,2))</f>
        <v/>
      </c>
      <c r="G217" s="16">
        <f>IF(OR(D217&lt;=0,C217&gt;Parametry!$C$6),0,MIN(IF(C217&lt;=Parametry!$C$9+1,Parametry!$C$7,Parametry!$C$14),ROUND(D217+F217,2)))</f>
        <v/>
      </c>
      <c r="H217" s="18" t="n"/>
      <c r="I217" s="19">
        <f>IF(OR(L217&lt;=0,C217&gt;=Parametry!$C$6),0,INDEX(G:G,ROW()+1))</f>
        <v/>
      </c>
      <c r="J217" s="20">
        <f>IF(D217&lt;=0,0,MIN(G217+N(H217),ROUND(D217+F217,2)))</f>
        <v/>
      </c>
      <c r="K217" s="16">
        <f>IF(J217&lt;=0,0,ROUND(MAX(0,J217-F217),2))</f>
        <v/>
      </c>
      <c r="L217" s="20">
        <f>IF(D217&lt;=0,0,ROUND(MAX(0,D217-K217),2))</f>
        <v/>
      </c>
      <c r="M217" s="21">
        <f>IF(L217&lt;=0,0,IFERROR(MATCH(TRUE,INDEX(L217:L327&lt;=0,0),0),111))</f>
        <v/>
      </c>
    </row>
    <row r="218" ht="18" customHeight="1">
      <c r="A218" s="22" t="n">
        <v>216</v>
      </c>
      <c r="B218" s="23">
        <f>IF(C218&lt;=Parametry!$C$6,DATE(Parametry!$C$12+INT((Parametry!$C$13+216-2)/12),MOD(Parametry!$C$13+216-2,12)+1,Parametry!$C$11),"")</f>
        <v/>
      </c>
      <c r="C218" s="24" t="n">
        <v>216</v>
      </c>
      <c r="D218" s="25">
        <f>IF(C218&lt;=Parametry!$C$6,L217,0)</f>
        <v/>
      </c>
      <c r="E218" s="26">
        <f>IF(OR(D218&lt;=0,C218&gt;Parametry!$C$6),0,IF(C218&lt;=Parametry!$C$9+1,Parametry!$C$8,Parametry!$C$10))</f>
        <v/>
      </c>
      <c r="F218" s="25">
        <f>IF(D218&lt;=0,0,ROUND(D218*E218/12,2))</f>
        <v/>
      </c>
      <c r="G218" s="25">
        <f>IF(OR(D218&lt;=0,C218&gt;Parametry!$C$6),0,MIN(IF(C218&lt;=Parametry!$C$9+1,Parametry!$C$7,Parametry!$C$14),ROUND(D218+F218,2)))</f>
        <v/>
      </c>
      <c r="H218" s="18" t="n"/>
      <c r="I218" s="19">
        <f>IF(OR(L218&lt;=0,C218&gt;=Parametry!$C$6),0,INDEX(G:G,ROW()+1))</f>
        <v/>
      </c>
      <c r="J218" s="27">
        <f>IF(D218&lt;=0,0,MIN(G218+N(H218),ROUND(D218+F218,2)))</f>
        <v/>
      </c>
      <c r="K218" s="25">
        <f>IF(J218&lt;=0,0,ROUND(MAX(0,J218-F218),2))</f>
        <v/>
      </c>
      <c r="L218" s="27">
        <f>IF(D218&lt;=0,0,ROUND(MAX(0,D218-K218),2))</f>
        <v/>
      </c>
      <c r="M218" s="28">
        <f>IF(L218&lt;=0,0,IFERROR(MATCH(TRUE,INDEX(L218:L327&lt;=0,0),0),110))</f>
        <v/>
      </c>
    </row>
    <row r="219" ht="18" customHeight="1">
      <c r="A219" s="13" t="n">
        <v>217</v>
      </c>
      <c r="B219" s="14">
        <f>IF(C219&lt;=Parametry!$C$6,DATE(Parametry!$C$12+INT((Parametry!$C$13+217-2)/12),MOD(Parametry!$C$13+217-2,12)+1,Parametry!$C$11),"")</f>
        <v/>
      </c>
      <c r="C219" s="15" t="n">
        <v>217</v>
      </c>
      <c r="D219" s="16">
        <f>IF(C219&lt;=Parametry!$C$6,L218,0)</f>
        <v/>
      </c>
      <c r="E219" s="17">
        <f>IF(OR(D219&lt;=0,C219&gt;Parametry!$C$6),0,IF(C219&lt;=Parametry!$C$9+1,Parametry!$C$8,Parametry!$C$10))</f>
        <v/>
      </c>
      <c r="F219" s="16">
        <f>IF(D219&lt;=0,0,ROUND(D219*E219/12,2))</f>
        <v/>
      </c>
      <c r="G219" s="16">
        <f>IF(OR(D219&lt;=0,C219&gt;Parametry!$C$6),0,MIN(IF(C219&lt;=Parametry!$C$9+1,Parametry!$C$7,Parametry!$C$14),ROUND(D219+F219,2)))</f>
        <v/>
      </c>
      <c r="H219" s="18" t="n"/>
      <c r="I219" s="19">
        <f>IF(OR(L219&lt;=0,C219&gt;=Parametry!$C$6),0,INDEX(G:G,ROW()+1))</f>
        <v/>
      </c>
      <c r="J219" s="20">
        <f>IF(D219&lt;=0,0,MIN(G219+N(H219),ROUND(D219+F219,2)))</f>
        <v/>
      </c>
      <c r="K219" s="16">
        <f>IF(J219&lt;=0,0,ROUND(MAX(0,J219-F219),2))</f>
        <v/>
      </c>
      <c r="L219" s="20">
        <f>IF(D219&lt;=0,0,ROUND(MAX(0,D219-K219),2))</f>
        <v/>
      </c>
      <c r="M219" s="21">
        <f>IF(L219&lt;=0,0,IFERROR(MATCH(TRUE,INDEX(L219:L327&lt;=0,0),0),109))</f>
        <v/>
      </c>
    </row>
    <row r="220" ht="18" customHeight="1">
      <c r="A220" s="22" t="n">
        <v>218</v>
      </c>
      <c r="B220" s="23">
        <f>IF(C220&lt;=Parametry!$C$6,DATE(Parametry!$C$12+INT((Parametry!$C$13+218-2)/12),MOD(Parametry!$C$13+218-2,12)+1,Parametry!$C$11),"")</f>
        <v/>
      </c>
      <c r="C220" s="24" t="n">
        <v>218</v>
      </c>
      <c r="D220" s="25">
        <f>IF(C220&lt;=Parametry!$C$6,L219,0)</f>
        <v/>
      </c>
      <c r="E220" s="26">
        <f>IF(OR(D220&lt;=0,C220&gt;Parametry!$C$6),0,IF(C220&lt;=Parametry!$C$9+1,Parametry!$C$8,Parametry!$C$10))</f>
        <v/>
      </c>
      <c r="F220" s="25">
        <f>IF(D220&lt;=0,0,ROUND(D220*E220/12,2))</f>
        <v/>
      </c>
      <c r="G220" s="25">
        <f>IF(OR(D220&lt;=0,C220&gt;Parametry!$C$6),0,MIN(IF(C220&lt;=Parametry!$C$9+1,Parametry!$C$7,Parametry!$C$14),ROUND(D220+F220,2)))</f>
        <v/>
      </c>
      <c r="H220" s="18" t="n"/>
      <c r="I220" s="19">
        <f>IF(OR(L220&lt;=0,C220&gt;=Parametry!$C$6),0,INDEX(G:G,ROW()+1))</f>
        <v/>
      </c>
      <c r="J220" s="27">
        <f>IF(D220&lt;=0,0,MIN(G220+N(H220),ROUND(D220+F220,2)))</f>
        <v/>
      </c>
      <c r="K220" s="25">
        <f>IF(J220&lt;=0,0,ROUND(MAX(0,J220-F220),2))</f>
        <v/>
      </c>
      <c r="L220" s="27">
        <f>IF(D220&lt;=0,0,ROUND(MAX(0,D220-K220),2))</f>
        <v/>
      </c>
      <c r="M220" s="28">
        <f>IF(L220&lt;=0,0,IFERROR(MATCH(TRUE,INDEX(L220:L327&lt;=0,0),0),108))</f>
        <v/>
      </c>
    </row>
    <row r="221" ht="18" customHeight="1">
      <c r="A221" s="13" t="n">
        <v>219</v>
      </c>
      <c r="B221" s="14">
        <f>IF(C221&lt;=Parametry!$C$6,DATE(Parametry!$C$12+INT((Parametry!$C$13+219-2)/12),MOD(Parametry!$C$13+219-2,12)+1,Parametry!$C$11),"")</f>
        <v/>
      </c>
      <c r="C221" s="15" t="n">
        <v>219</v>
      </c>
      <c r="D221" s="16">
        <f>IF(C221&lt;=Parametry!$C$6,L220,0)</f>
        <v/>
      </c>
      <c r="E221" s="17">
        <f>IF(OR(D221&lt;=0,C221&gt;Parametry!$C$6),0,IF(C221&lt;=Parametry!$C$9+1,Parametry!$C$8,Parametry!$C$10))</f>
        <v/>
      </c>
      <c r="F221" s="16">
        <f>IF(D221&lt;=0,0,ROUND(D221*E221/12,2))</f>
        <v/>
      </c>
      <c r="G221" s="16">
        <f>IF(OR(D221&lt;=0,C221&gt;Parametry!$C$6),0,MIN(IF(C221&lt;=Parametry!$C$9+1,Parametry!$C$7,Parametry!$C$14),ROUND(D221+F221,2)))</f>
        <v/>
      </c>
      <c r="H221" s="18" t="n"/>
      <c r="I221" s="19">
        <f>IF(OR(L221&lt;=0,C221&gt;=Parametry!$C$6),0,INDEX(G:G,ROW()+1))</f>
        <v/>
      </c>
      <c r="J221" s="20">
        <f>IF(D221&lt;=0,0,MIN(G221+N(H221),ROUND(D221+F221,2)))</f>
        <v/>
      </c>
      <c r="K221" s="16">
        <f>IF(J221&lt;=0,0,ROUND(MAX(0,J221-F221),2))</f>
        <v/>
      </c>
      <c r="L221" s="20">
        <f>IF(D221&lt;=0,0,ROUND(MAX(0,D221-K221),2))</f>
        <v/>
      </c>
      <c r="M221" s="21">
        <f>IF(L221&lt;=0,0,IFERROR(MATCH(TRUE,INDEX(L221:L327&lt;=0,0),0),107))</f>
        <v/>
      </c>
    </row>
    <row r="222" ht="18" customHeight="1">
      <c r="A222" s="22" t="n">
        <v>220</v>
      </c>
      <c r="B222" s="23">
        <f>IF(C222&lt;=Parametry!$C$6,DATE(Parametry!$C$12+INT((Parametry!$C$13+220-2)/12),MOD(Parametry!$C$13+220-2,12)+1,Parametry!$C$11),"")</f>
        <v/>
      </c>
      <c r="C222" s="24" t="n">
        <v>220</v>
      </c>
      <c r="D222" s="25">
        <f>IF(C222&lt;=Parametry!$C$6,L221,0)</f>
        <v/>
      </c>
      <c r="E222" s="26">
        <f>IF(OR(D222&lt;=0,C222&gt;Parametry!$C$6),0,IF(C222&lt;=Parametry!$C$9+1,Parametry!$C$8,Parametry!$C$10))</f>
        <v/>
      </c>
      <c r="F222" s="25">
        <f>IF(D222&lt;=0,0,ROUND(D222*E222/12,2))</f>
        <v/>
      </c>
      <c r="G222" s="25">
        <f>IF(OR(D222&lt;=0,C222&gt;Parametry!$C$6),0,MIN(IF(C222&lt;=Parametry!$C$9+1,Parametry!$C$7,Parametry!$C$14),ROUND(D222+F222,2)))</f>
        <v/>
      </c>
      <c r="H222" s="18" t="n"/>
      <c r="I222" s="19">
        <f>IF(OR(L222&lt;=0,C222&gt;=Parametry!$C$6),0,INDEX(G:G,ROW()+1))</f>
        <v/>
      </c>
      <c r="J222" s="27">
        <f>IF(D222&lt;=0,0,MIN(G222+N(H222),ROUND(D222+F222,2)))</f>
        <v/>
      </c>
      <c r="K222" s="25">
        <f>IF(J222&lt;=0,0,ROUND(MAX(0,J222-F222),2))</f>
        <v/>
      </c>
      <c r="L222" s="27">
        <f>IF(D222&lt;=0,0,ROUND(MAX(0,D222-K222),2))</f>
        <v/>
      </c>
      <c r="M222" s="28">
        <f>IF(L222&lt;=0,0,IFERROR(MATCH(TRUE,INDEX(L222:L327&lt;=0,0),0),106))</f>
        <v/>
      </c>
    </row>
    <row r="223" ht="18" customHeight="1">
      <c r="A223" s="13" t="n">
        <v>221</v>
      </c>
      <c r="B223" s="14">
        <f>IF(C223&lt;=Parametry!$C$6,DATE(Parametry!$C$12+INT((Parametry!$C$13+221-2)/12),MOD(Parametry!$C$13+221-2,12)+1,Parametry!$C$11),"")</f>
        <v/>
      </c>
      <c r="C223" s="15" t="n">
        <v>221</v>
      </c>
      <c r="D223" s="16">
        <f>IF(C223&lt;=Parametry!$C$6,L222,0)</f>
        <v/>
      </c>
      <c r="E223" s="17">
        <f>IF(OR(D223&lt;=0,C223&gt;Parametry!$C$6),0,IF(C223&lt;=Parametry!$C$9+1,Parametry!$C$8,Parametry!$C$10))</f>
        <v/>
      </c>
      <c r="F223" s="16">
        <f>IF(D223&lt;=0,0,ROUND(D223*E223/12,2))</f>
        <v/>
      </c>
      <c r="G223" s="16">
        <f>IF(OR(D223&lt;=0,C223&gt;Parametry!$C$6),0,MIN(IF(C223&lt;=Parametry!$C$9+1,Parametry!$C$7,Parametry!$C$14),ROUND(D223+F223,2)))</f>
        <v/>
      </c>
      <c r="H223" s="18" t="n"/>
      <c r="I223" s="19">
        <f>IF(OR(L223&lt;=0,C223&gt;=Parametry!$C$6),0,INDEX(G:G,ROW()+1))</f>
        <v/>
      </c>
      <c r="J223" s="20">
        <f>IF(D223&lt;=0,0,MIN(G223+N(H223),ROUND(D223+F223,2)))</f>
        <v/>
      </c>
      <c r="K223" s="16">
        <f>IF(J223&lt;=0,0,ROUND(MAX(0,J223-F223),2))</f>
        <v/>
      </c>
      <c r="L223" s="20">
        <f>IF(D223&lt;=0,0,ROUND(MAX(0,D223-K223),2))</f>
        <v/>
      </c>
      <c r="M223" s="21">
        <f>IF(L223&lt;=0,0,IFERROR(MATCH(TRUE,INDEX(L223:L327&lt;=0,0),0),105))</f>
        <v/>
      </c>
    </row>
    <row r="224" ht="18" customHeight="1">
      <c r="A224" s="22" t="n">
        <v>222</v>
      </c>
      <c r="B224" s="23">
        <f>IF(C224&lt;=Parametry!$C$6,DATE(Parametry!$C$12+INT((Parametry!$C$13+222-2)/12),MOD(Parametry!$C$13+222-2,12)+1,Parametry!$C$11),"")</f>
        <v/>
      </c>
      <c r="C224" s="24" t="n">
        <v>222</v>
      </c>
      <c r="D224" s="25">
        <f>IF(C224&lt;=Parametry!$C$6,L223,0)</f>
        <v/>
      </c>
      <c r="E224" s="26">
        <f>IF(OR(D224&lt;=0,C224&gt;Parametry!$C$6),0,IF(C224&lt;=Parametry!$C$9+1,Parametry!$C$8,Parametry!$C$10))</f>
        <v/>
      </c>
      <c r="F224" s="25">
        <f>IF(D224&lt;=0,0,ROUND(D224*E224/12,2))</f>
        <v/>
      </c>
      <c r="G224" s="25">
        <f>IF(OR(D224&lt;=0,C224&gt;Parametry!$C$6),0,MIN(IF(C224&lt;=Parametry!$C$9+1,Parametry!$C$7,Parametry!$C$14),ROUND(D224+F224,2)))</f>
        <v/>
      </c>
      <c r="H224" s="18" t="n"/>
      <c r="I224" s="19">
        <f>IF(OR(L224&lt;=0,C224&gt;=Parametry!$C$6),0,INDEX(G:G,ROW()+1))</f>
        <v/>
      </c>
      <c r="J224" s="27">
        <f>IF(D224&lt;=0,0,MIN(G224+N(H224),ROUND(D224+F224,2)))</f>
        <v/>
      </c>
      <c r="K224" s="25">
        <f>IF(J224&lt;=0,0,ROUND(MAX(0,J224-F224),2))</f>
        <v/>
      </c>
      <c r="L224" s="27">
        <f>IF(D224&lt;=0,0,ROUND(MAX(0,D224-K224),2))</f>
        <v/>
      </c>
      <c r="M224" s="28">
        <f>IF(L224&lt;=0,0,IFERROR(MATCH(TRUE,INDEX(L224:L327&lt;=0,0),0),104))</f>
        <v/>
      </c>
    </row>
    <row r="225" ht="18" customHeight="1">
      <c r="A225" s="13" t="n">
        <v>223</v>
      </c>
      <c r="B225" s="14">
        <f>IF(C225&lt;=Parametry!$C$6,DATE(Parametry!$C$12+INT((Parametry!$C$13+223-2)/12),MOD(Parametry!$C$13+223-2,12)+1,Parametry!$C$11),"")</f>
        <v/>
      </c>
      <c r="C225" s="15" t="n">
        <v>223</v>
      </c>
      <c r="D225" s="16">
        <f>IF(C225&lt;=Parametry!$C$6,L224,0)</f>
        <v/>
      </c>
      <c r="E225" s="17">
        <f>IF(OR(D225&lt;=0,C225&gt;Parametry!$C$6),0,IF(C225&lt;=Parametry!$C$9+1,Parametry!$C$8,Parametry!$C$10))</f>
        <v/>
      </c>
      <c r="F225" s="16">
        <f>IF(D225&lt;=0,0,ROUND(D225*E225/12,2))</f>
        <v/>
      </c>
      <c r="G225" s="16">
        <f>IF(OR(D225&lt;=0,C225&gt;Parametry!$C$6),0,MIN(IF(C225&lt;=Parametry!$C$9+1,Parametry!$C$7,Parametry!$C$14),ROUND(D225+F225,2)))</f>
        <v/>
      </c>
      <c r="H225" s="18" t="n"/>
      <c r="I225" s="19">
        <f>IF(OR(L225&lt;=0,C225&gt;=Parametry!$C$6),0,INDEX(G:G,ROW()+1))</f>
        <v/>
      </c>
      <c r="J225" s="20">
        <f>IF(D225&lt;=0,0,MIN(G225+N(H225),ROUND(D225+F225,2)))</f>
        <v/>
      </c>
      <c r="K225" s="16">
        <f>IF(J225&lt;=0,0,ROUND(MAX(0,J225-F225),2))</f>
        <v/>
      </c>
      <c r="L225" s="20">
        <f>IF(D225&lt;=0,0,ROUND(MAX(0,D225-K225),2))</f>
        <v/>
      </c>
      <c r="M225" s="21">
        <f>IF(L225&lt;=0,0,IFERROR(MATCH(TRUE,INDEX(L225:L327&lt;=0,0),0),103))</f>
        <v/>
      </c>
    </row>
    <row r="226" ht="18" customHeight="1">
      <c r="A226" s="22" t="n">
        <v>224</v>
      </c>
      <c r="B226" s="23">
        <f>IF(C226&lt;=Parametry!$C$6,DATE(Parametry!$C$12+INT((Parametry!$C$13+224-2)/12),MOD(Parametry!$C$13+224-2,12)+1,Parametry!$C$11),"")</f>
        <v/>
      </c>
      <c r="C226" s="24" t="n">
        <v>224</v>
      </c>
      <c r="D226" s="25">
        <f>IF(C226&lt;=Parametry!$C$6,L225,0)</f>
        <v/>
      </c>
      <c r="E226" s="26">
        <f>IF(OR(D226&lt;=0,C226&gt;Parametry!$C$6),0,IF(C226&lt;=Parametry!$C$9+1,Parametry!$C$8,Parametry!$C$10))</f>
        <v/>
      </c>
      <c r="F226" s="25">
        <f>IF(D226&lt;=0,0,ROUND(D226*E226/12,2))</f>
        <v/>
      </c>
      <c r="G226" s="25">
        <f>IF(OR(D226&lt;=0,C226&gt;Parametry!$C$6),0,MIN(IF(C226&lt;=Parametry!$C$9+1,Parametry!$C$7,Parametry!$C$14),ROUND(D226+F226,2)))</f>
        <v/>
      </c>
      <c r="H226" s="18" t="n"/>
      <c r="I226" s="19">
        <f>IF(OR(L226&lt;=0,C226&gt;=Parametry!$C$6),0,INDEX(G:G,ROW()+1))</f>
        <v/>
      </c>
      <c r="J226" s="27">
        <f>IF(D226&lt;=0,0,MIN(G226+N(H226),ROUND(D226+F226,2)))</f>
        <v/>
      </c>
      <c r="K226" s="25">
        <f>IF(J226&lt;=0,0,ROUND(MAX(0,J226-F226),2))</f>
        <v/>
      </c>
      <c r="L226" s="27">
        <f>IF(D226&lt;=0,0,ROUND(MAX(0,D226-K226),2))</f>
        <v/>
      </c>
      <c r="M226" s="28">
        <f>IF(L226&lt;=0,0,IFERROR(MATCH(TRUE,INDEX(L226:L327&lt;=0,0),0),102))</f>
        <v/>
      </c>
    </row>
    <row r="227" ht="18" customHeight="1">
      <c r="A227" s="13" t="n">
        <v>225</v>
      </c>
      <c r="B227" s="14">
        <f>IF(C227&lt;=Parametry!$C$6,DATE(Parametry!$C$12+INT((Parametry!$C$13+225-2)/12),MOD(Parametry!$C$13+225-2,12)+1,Parametry!$C$11),"")</f>
        <v/>
      </c>
      <c r="C227" s="15" t="n">
        <v>225</v>
      </c>
      <c r="D227" s="16">
        <f>IF(C227&lt;=Parametry!$C$6,L226,0)</f>
        <v/>
      </c>
      <c r="E227" s="17">
        <f>IF(OR(D227&lt;=0,C227&gt;Parametry!$C$6),0,IF(C227&lt;=Parametry!$C$9+1,Parametry!$C$8,Parametry!$C$10))</f>
        <v/>
      </c>
      <c r="F227" s="16">
        <f>IF(D227&lt;=0,0,ROUND(D227*E227/12,2))</f>
        <v/>
      </c>
      <c r="G227" s="16">
        <f>IF(OR(D227&lt;=0,C227&gt;Parametry!$C$6),0,MIN(IF(C227&lt;=Parametry!$C$9+1,Parametry!$C$7,Parametry!$C$14),ROUND(D227+F227,2)))</f>
        <v/>
      </c>
      <c r="H227" s="18" t="n"/>
      <c r="I227" s="19">
        <f>IF(OR(L227&lt;=0,C227&gt;=Parametry!$C$6),0,INDEX(G:G,ROW()+1))</f>
        <v/>
      </c>
      <c r="J227" s="20">
        <f>IF(D227&lt;=0,0,MIN(G227+N(H227),ROUND(D227+F227,2)))</f>
        <v/>
      </c>
      <c r="K227" s="16">
        <f>IF(J227&lt;=0,0,ROUND(MAX(0,J227-F227),2))</f>
        <v/>
      </c>
      <c r="L227" s="20">
        <f>IF(D227&lt;=0,0,ROUND(MAX(0,D227-K227),2))</f>
        <v/>
      </c>
      <c r="M227" s="21">
        <f>IF(L227&lt;=0,0,IFERROR(MATCH(TRUE,INDEX(L227:L327&lt;=0,0),0),101))</f>
        <v/>
      </c>
    </row>
    <row r="228" ht="18" customHeight="1">
      <c r="A228" s="22" t="n">
        <v>226</v>
      </c>
      <c r="B228" s="23">
        <f>IF(C228&lt;=Parametry!$C$6,DATE(Parametry!$C$12+INT((Parametry!$C$13+226-2)/12),MOD(Parametry!$C$13+226-2,12)+1,Parametry!$C$11),"")</f>
        <v/>
      </c>
      <c r="C228" s="24" t="n">
        <v>226</v>
      </c>
      <c r="D228" s="25">
        <f>IF(C228&lt;=Parametry!$C$6,L227,0)</f>
        <v/>
      </c>
      <c r="E228" s="26">
        <f>IF(OR(D228&lt;=0,C228&gt;Parametry!$C$6),0,IF(C228&lt;=Parametry!$C$9+1,Parametry!$C$8,Parametry!$C$10))</f>
        <v/>
      </c>
      <c r="F228" s="25">
        <f>IF(D228&lt;=0,0,ROUND(D228*E228/12,2))</f>
        <v/>
      </c>
      <c r="G228" s="25">
        <f>IF(OR(D228&lt;=0,C228&gt;Parametry!$C$6),0,MIN(IF(C228&lt;=Parametry!$C$9+1,Parametry!$C$7,Parametry!$C$14),ROUND(D228+F228,2)))</f>
        <v/>
      </c>
      <c r="H228" s="18" t="n"/>
      <c r="I228" s="19">
        <f>IF(OR(L228&lt;=0,C228&gt;=Parametry!$C$6),0,INDEX(G:G,ROW()+1))</f>
        <v/>
      </c>
      <c r="J228" s="27">
        <f>IF(D228&lt;=0,0,MIN(G228+N(H228),ROUND(D228+F228,2)))</f>
        <v/>
      </c>
      <c r="K228" s="25">
        <f>IF(J228&lt;=0,0,ROUND(MAX(0,J228-F228),2))</f>
        <v/>
      </c>
      <c r="L228" s="27">
        <f>IF(D228&lt;=0,0,ROUND(MAX(0,D228-K228),2))</f>
        <v/>
      </c>
      <c r="M228" s="28">
        <f>IF(L228&lt;=0,0,IFERROR(MATCH(TRUE,INDEX(L228:L327&lt;=0,0),0),100))</f>
        <v/>
      </c>
    </row>
    <row r="229" ht="18" customHeight="1">
      <c r="A229" s="13" t="n">
        <v>227</v>
      </c>
      <c r="B229" s="14">
        <f>IF(C229&lt;=Parametry!$C$6,DATE(Parametry!$C$12+INT((Parametry!$C$13+227-2)/12),MOD(Parametry!$C$13+227-2,12)+1,Parametry!$C$11),"")</f>
        <v/>
      </c>
      <c r="C229" s="15" t="n">
        <v>227</v>
      </c>
      <c r="D229" s="16">
        <f>IF(C229&lt;=Parametry!$C$6,L228,0)</f>
        <v/>
      </c>
      <c r="E229" s="17">
        <f>IF(OR(D229&lt;=0,C229&gt;Parametry!$C$6),0,IF(C229&lt;=Parametry!$C$9+1,Parametry!$C$8,Parametry!$C$10))</f>
        <v/>
      </c>
      <c r="F229" s="16">
        <f>IF(D229&lt;=0,0,ROUND(D229*E229/12,2))</f>
        <v/>
      </c>
      <c r="G229" s="16">
        <f>IF(OR(D229&lt;=0,C229&gt;Parametry!$C$6),0,MIN(IF(C229&lt;=Parametry!$C$9+1,Parametry!$C$7,Parametry!$C$14),ROUND(D229+F229,2)))</f>
        <v/>
      </c>
      <c r="H229" s="18" t="n"/>
      <c r="I229" s="19">
        <f>IF(OR(L229&lt;=0,C229&gt;=Parametry!$C$6),0,INDEX(G:G,ROW()+1))</f>
        <v/>
      </c>
      <c r="J229" s="20">
        <f>IF(D229&lt;=0,0,MIN(G229+N(H229),ROUND(D229+F229,2)))</f>
        <v/>
      </c>
      <c r="K229" s="16">
        <f>IF(J229&lt;=0,0,ROUND(MAX(0,J229-F229),2))</f>
        <v/>
      </c>
      <c r="L229" s="20">
        <f>IF(D229&lt;=0,0,ROUND(MAX(0,D229-K229),2))</f>
        <v/>
      </c>
      <c r="M229" s="21">
        <f>IF(L229&lt;=0,0,IFERROR(MATCH(TRUE,INDEX(L229:L327&lt;=0,0),0),99))</f>
        <v/>
      </c>
    </row>
    <row r="230" ht="18" customHeight="1">
      <c r="A230" s="22" t="n">
        <v>228</v>
      </c>
      <c r="B230" s="23">
        <f>IF(C230&lt;=Parametry!$C$6,DATE(Parametry!$C$12+INT((Parametry!$C$13+228-2)/12),MOD(Parametry!$C$13+228-2,12)+1,Parametry!$C$11),"")</f>
        <v/>
      </c>
      <c r="C230" s="24" t="n">
        <v>228</v>
      </c>
      <c r="D230" s="25">
        <f>IF(C230&lt;=Parametry!$C$6,L229,0)</f>
        <v/>
      </c>
      <c r="E230" s="26">
        <f>IF(OR(D230&lt;=0,C230&gt;Parametry!$C$6),0,IF(C230&lt;=Parametry!$C$9+1,Parametry!$C$8,Parametry!$C$10))</f>
        <v/>
      </c>
      <c r="F230" s="25">
        <f>IF(D230&lt;=0,0,ROUND(D230*E230/12,2))</f>
        <v/>
      </c>
      <c r="G230" s="25">
        <f>IF(OR(D230&lt;=0,C230&gt;Parametry!$C$6),0,MIN(IF(C230&lt;=Parametry!$C$9+1,Parametry!$C$7,Parametry!$C$14),ROUND(D230+F230,2)))</f>
        <v/>
      </c>
      <c r="H230" s="18" t="n"/>
      <c r="I230" s="19">
        <f>IF(OR(L230&lt;=0,C230&gt;=Parametry!$C$6),0,INDEX(G:G,ROW()+1))</f>
        <v/>
      </c>
      <c r="J230" s="27">
        <f>IF(D230&lt;=0,0,MIN(G230+N(H230),ROUND(D230+F230,2)))</f>
        <v/>
      </c>
      <c r="K230" s="25">
        <f>IF(J230&lt;=0,0,ROUND(MAX(0,J230-F230),2))</f>
        <v/>
      </c>
      <c r="L230" s="27">
        <f>IF(D230&lt;=0,0,ROUND(MAX(0,D230-K230),2))</f>
        <v/>
      </c>
      <c r="M230" s="28">
        <f>IF(L230&lt;=0,0,IFERROR(MATCH(TRUE,INDEX(L230:L327&lt;=0,0),0),98))</f>
        <v/>
      </c>
    </row>
    <row r="231" ht="18" customHeight="1">
      <c r="A231" s="13" t="n">
        <v>229</v>
      </c>
      <c r="B231" s="14">
        <f>IF(C231&lt;=Parametry!$C$6,DATE(Parametry!$C$12+INT((Parametry!$C$13+229-2)/12),MOD(Parametry!$C$13+229-2,12)+1,Parametry!$C$11),"")</f>
        <v/>
      </c>
      <c r="C231" s="15" t="n">
        <v>229</v>
      </c>
      <c r="D231" s="16">
        <f>IF(C231&lt;=Parametry!$C$6,L230,0)</f>
        <v/>
      </c>
      <c r="E231" s="17">
        <f>IF(OR(D231&lt;=0,C231&gt;Parametry!$C$6),0,IF(C231&lt;=Parametry!$C$9+1,Parametry!$C$8,Parametry!$C$10))</f>
        <v/>
      </c>
      <c r="F231" s="16">
        <f>IF(D231&lt;=0,0,ROUND(D231*E231/12,2))</f>
        <v/>
      </c>
      <c r="G231" s="16">
        <f>IF(OR(D231&lt;=0,C231&gt;Parametry!$C$6),0,MIN(IF(C231&lt;=Parametry!$C$9+1,Parametry!$C$7,Parametry!$C$14),ROUND(D231+F231,2)))</f>
        <v/>
      </c>
      <c r="H231" s="18" t="n"/>
      <c r="I231" s="19">
        <f>IF(OR(L231&lt;=0,C231&gt;=Parametry!$C$6),0,INDEX(G:G,ROW()+1))</f>
        <v/>
      </c>
      <c r="J231" s="20">
        <f>IF(D231&lt;=0,0,MIN(G231+N(H231),ROUND(D231+F231,2)))</f>
        <v/>
      </c>
      <c r="K231" s="16">
        <f>IF(J231&lt;=0,0,ROUND(MAX(0,J231-F231),2))</f>
        <v/>
      </c>
      <c r="L231" s="20">
        <f>IF(D231&lt;=0,0,ROUND(MAX(0,D231-K231),2))</f>
        <v/>
      </c>
      <c r="M231" s="21">
        <f>IF(L231&lt;=0,0,IFERROR(MATCH(TRUE,INDEX(L231:L327&lt;=0,0),0),97))</f>
        <v/>
      </c>
    </row>
    <row r="232" ht="18" customHeight="1">
      <c r="A232" s="22" t="n">
        <v>230</v>
      </c>
      <c r="B232" s="23">
        <f>IF(C232&lt;=Parametry!$C$6,DATE(Parametry!$C$12+INT((Parametry!$C$13+230-2)/12),MOD(Parametry!$C$13+230-2,12)+1,Parametry!$C$11),"")</f>
        <v/>
      </c>
      <c r="C232" s="24" t="n">
        <v>230</v>
      </c>
      <c r="D232" s="25">
        <f>IF(C232&lt;=Parametry!$C$6,L231,0)</f>
        <v/>
      </c>
      <c r="E232" s="26">
        <f>IF(OR(D232&lt;=0,C232&gt;Parametry!$C$6),0,IF(C232&lt;=Parametry!$C$9+1,Parametry!$C$8,Parametry!$C$10))</f>
        <v/>
      </c>
      <c r="F232" s="25">
        <f>IF(D232&lt;=0,0,ROUND(D232*E232/12,2))</f>
        <v/>
      </c>
      <c r="G232" s="25">
        <f>IF(OR(D232&lt;=0,C232&gt;Parametry!$C$6),0,MIN(IF(C232&lt;=Parametry!$C$9+1,Parametry!$C$7,Parametry!$C$14),ROUND(D232+F232,2)))</f>
        <v/>
      </c>
      <c r="H232" s="18" t="n"/>
      <c r="I232" s="19">
        <f>IF(OR(L232&lt;=0,C232&gt;=Parametry!$C$6),0,INDEX(G:G,ROW()+1))</f>
        <v/>
      </c>
      <c r="J232" s="27">
        <f>IF(D232&lt;=0,0,MIN(G232+N(H232),ROUND(D232+F232,2)))</f>
        <v/>
      </c>
      <c r="K232" s="25">
        <f>IF(J232&lt;=0,0,ROUND(MAX(0,J232-F232),2))</f>
        <v/>
      </c>
      <c r="L232" s="27">
        <f>IF(D232&lt;=0,0,ROUND(MAX(0,D232-K232),2))</f>
        <v/>
      </c>
      <c r="M232" s="28">
        <f>IF(L232&lt;=0,0,IFERROR(MATCH(TRUE,INDEX(L232:L327&lt;=0,0),0),96))</f>
        <v/>
      </c>
    </row>
    <row r="233" ht="18" customHeight="1">
      <c r="A233" s="13" t="n">
        <v>231</v>
      </c>
      <c r="B233" s="14">
        <f>IF(C233&lt;=Parametry!$C$6,DATE(Parametry!$C$12+INT((Parametry!$C$13+231-2)/12),MOD(Parametry!$C$13+231-2,12)+1,Parametry!$C$11),"")</f>
        <v/>
      </c>
      <c r="C233" s="15" t="n">
        <v>231</v>
      </c>
      <c r="D233" s="16">
        <f>IF(C233&lt;=Parametry!$C$6,L232,0)</f>
        <v/>
      </c>
      <c r="E233" s="17">
        <f>IF(OR(D233&lt;=0,C233&gt;Parametry!$C$6),0,IF(C233&lt;=Parametry!$C$9+1,Parametry!$C$8,Parametry!$C$10))</f>
        <v/>
      </c>
      <c r="F233" s="16">
        <f>IF(D233&lt;=0,0,ROUND(D233*E233/12,2))</f>
        <v/>
      </c>
      <c r="G233" s="16">
        <f>IF(OR(D233&lt;=0,C233&gt;Parametry!$C$6),0,MIN(IF(C233&lt;=Parametry!$C$9+1,Parametry!$C$7,Parametry!$C$14),ROUND(D233+F233,2)))</f>
        <v/>
      </c>
      <c r="H233" s="18" t="n"/>
      <c r="I233" s="19">
        <f>IF(OR(L233&lt;=0,C233&gt;=Parametry!$C$6),0,INDEX(G:G,ROW()+1))</f>
        <v/>
      </c>
      <c r="J233" s="20">
        <f>IF(D233&lt;=0,0,MIN(G233+N(H233),ROUND(D233+F233,2)))</f>
        <v/>
      </c>
      <c r="K233" s="16">
        <f>IF(J233&lt;=0,0,ROUND(MAX(0,J233-F233),2))</f>
        <v/>
      </c>
      <c r="L233" s="20">
        <f>IF(D233&lt;=0,0,ROUND(MAX(0,D233-K233),2))</f>
        <v/>
      </c>
      <c r="M233" s="21">
        <f>IF(L233&lt;=0,0,IFERROR(MATCH(TRUE,INDEX(L233:L327&lt;=0,0),0),95))</f>
        <v/>
      </c>
    </row>
    <row r="234" ht="18" customHeight="1">
      <c r="A234" s="22" t="n">
        <v>232</v>
      </c>
      <c r="B234" s="23">
        <f>IF(C234&lt;=Parametry!$C$6,DATE(Parametry!$C$12+INT((Parametry!$C$13+232-2)/12),MOD(Parametry!$C$13+232-2,12)+1,Parametry!$C$11),"")</f>
        <v/>
      </c>
      <c r="C234" s="24" t="n">
        <v>232</v>
      </c>
      <c r="D234" s="25">
        <f>IF(C234&lt;=Parametry!$C$6,L233,0)</f>
        <v/>
      </c>
      <c r="E234" s="26">
        <f>IF(OR(D234&lt;=0,C234&gt;Parametry!$C$6),0,IF(C234&lt;=Parametry!$C$9+1,Parametry!$C$8,Parametry!$C$10))</f>
        <v/>
      </c>
      <c r="F234" s="25">
        <f>IF(D234&lt;=0,0,ROUND(D234*E234/12,2))</f>
        <v/>
      </c>
      <c r="G234" s="25">
        <f>IF(OR(D234&lt;=0,C234&gt;Parametry!$C$6),0,MIN(IF(C234&lt;=Parametry!$C$9+1,Parametry!$C$7,Parametry!$C$14),ROUND(D234+F234,2)))</f>
        <v/>
      </c>
      <c r="H234" s="18" t="n"/>
      <c r="I234" s="19">
        <f>IF(OR(L234&lt;=0,C234&gt;=Parametry!$C$6),0,INDEX(G:G,ROW()+1))</f>
        <v/>
      </c>
      <c r="J234" s="27">
        <f>IF(D234&lt;=0,0,MIN(G234+N(H234),ROUND(D234+F234,2)))</f>
        <v/>
      </c>
      <c r="K234" s="25">
        <f>IF(J234&lt;=0,0,ROUND(MAX(0,J234-F234),2))</f>
        <v/>
      </c>
      <c r="L234" s="27">
        <f>IF(D234&lt;=0,0,ROUND(MAX(0,D234-K234),2))</f>
        <v/>
      </c>
      <c r="M234" s="28">
        <f>IF(L234&lt;=0,0,IFERROR(MATCH(TRUE,INDEX(L234:L327&lt;=0,0),0),94))</f>
        <v/>
      </c>
    </row>
    <row r="235" ht="18" customHeight="1">
      <c r="A235" s="13" t="n">
        <v>233</v>
      </c>
      <c r="B235" s="14">
        <f>IF(C235&lt;=Parametry!$C$6,DATE(Parametry!$C$12+INT((Parametry!$C$13+233-2)/12),MOD(Parametry!$C$13+233-2,12)+1,Parametry!$C$11),"")</f>
        <v/>
      </c>
      <c r="C235" s="15" t="n">
        <v>233</v>
      </c>
      <c r="D235" s="16">
        <f>IF(C235&lt;=Parametry!$C$6,L234,0)</f>
        <v/>
      </c>
      <c r="E235" s="17">
        <f>IF(OR(D235&lt;=0,C235&gt;Parametry!$C$6),0,IF(C235&lt;=Parametry!$C$9+1,Parametry!$C$8,Parametry!$C$10))</f>
        <v/>
      </c>
      <c r="F235" s="16">
        <f>IF(D235&lt;=0,0,ROUND(D235*E235/12,2))</f>
        <v/>
      </c>
      <c r="G235" s="16">
        <f>IF(OR(D235&lt;=0,C235&gt;Parametry!$C$6),0,MIN(IF(C235&lt;=Parametry!$C$9+1,Parametry!$C$7,Parametry!$C$14),ROUND(D235+F235,2)))</f>
        <v/>
      </c>
      <c r="H235" s="18" t="n"/>
      <c r="I235" s="19">
        <f>IF(OR(L235&lt;=0,C235&gt;=Parametry!$C$6),0,INDEX(G:G,ROW()+1))</f>
        <v/>
      </c>
      <c r="J235" s="20">
        <f>IF(D235&lt;=0,0,MIN(G235+N(H235),ROUND(D235+F235,2)))</f>
        <v/>
      </c>
      <c r="K235" s="16">
        <f>IF(J235&lt;=0,0,ROUND(MAX(0,J235-F235),2))</f>
        <v/>
      </c>
      <c r="L235" s="20">
        <f>IF(D235&lt;=0,0,ROUND(MAX(0,D235-K235),2))</f>
        <v/>
      </c>
      <c r="M235" s="21">
        <f>IF(L235&lt;=0,0,IFERROR(MATCH(TRUE,INDEX(L235:L327&lt;=0,0),0),93))</f>
        <v/>
      </c>
    </row>
    <row r="236" ht="18" customHeight="1">
      <c r="A236" s="22" t="n">
        <v>234</v>
      </c>
      <c r="B236" s="23">
        <f>IF(C236&lt;=Parametry!$C$6,DATE(Parametry!$C$12+INT((Parametry!$C$13+234-2)/12),MOD(Parametry!$C$13+234-2,12)+1,Parametry!$C$11),"")</f>
        <v/>
      </c>
      <c r="C236" s="24" t="n">
        <v>234</v>
      </c>
      <c r="D236" s="25">
        <f>IF(C236&lt;=Parametry!$C$6,L235,0)</f>
        <v/>
      </c>
      <c r="E236" s="26">
        <f>IF(OR(D236&lt;=0,C236&gt;Parametry!$C$6),0,IF(C236&lt;=Parametry!$C$9+1,Parametry!$C$8,Parametry!$C$10))</f>
        <v/>
      </c>
      <c r="F236" s="25">
        <f>IF(D236&lt;=0,0,ROUND(D236*E236/12,2))</f>
        <v/>
      </c>
      <c r="G236" s="25">
        <f>IF(OR(D236&lt;=0,C236&gt;Parametry!$C$6),0,MIN(IF(C236&lt;=Parametry!$C$9+1,Parametry!$C$7,Parametry!$C$14),ROUND(D236+F236,2)))</f>
        <v/>
      </c>
      <c r="H236" s="18" t="n"/>
      <c r="I236" s="19">
        <f>IF(OR(L236&lt;=0,C236&gt;=Parametry!$C$6),0,INDEX(G:G,ROW()+1))</f>
        <v/>
      </c>
      <c r="J236" s="27">
        <f>IF(D236&lt;=0,0,MIN(G236+N(H236),ROUND(D236+F236,2)))</f>
        <v/>
      </c>
      <c r="K236" s="25">
        <f>IF(J236&lt;=0,0,ROUND(MAX(0,J236-F236),2))</f>
        <v/>
      </c>
      <c r="L236" s="27">
        <f>IF(D236&lt;=0,0,ROUND(MAX(0,D236-K236),2))</f>
        <v/>
      </c>
      <c r="M236" s="28">
        <f>IF(L236&lt;=0,0,IFERROR(MATCH(TRUE,INDEX(L236:L327&lt;=0,0),0),92))</f>
        <v/>
      </c>
    </row>
    <row r="237" ht="18" customHeight="1">
      <c r="A237" s="13" t="n">
        <v>235</v>
      </c>
      <c r="B237" s="14">
        <f>IF(C237&lt;=Parametry!$C$6,DATE(Parametry!$C$12+INT((Parametry!$C$13+235-2)/12),MOD(Parametry!$C$13+235-2,12)+1,Parametry!$C$11),"")</f>
        <v/>
      </c>
      <c r="C237" s="15" t="n">
        <v>235</v>
      </c>
      <c r="D237" s="16">
        <f>IF(C237&lt;=Parametry!$C$6,L236,0)</f>
        <v/>
      </c>
      <c r="E237" s="17">
        <f>IF(OR(D237&lt;=0,C237&gt;Parametry!$C$6),0,IF(C237&lt;=Parametry!$C$9+1,Parametry!$C$8,Parametry!$C$10))</f>
        <v/>
      </c>
      <c r="F237" s="16">
        <f>IF(D237&lt;=0,0,ROUND(D237*E237/12,2))</f>
        <v/>
      </c>
      <c r="G237" s="16">
        <f>IF(OR(D237&lt;=0,C237&gt;Parametry!$C$6),0,MIN(IF(C237&lt;=Parametry!$C$9+1,Parametry!$C$7,Parametry!$C$14),ROUND(D237+F237,2)))</f>
        <v/>
      </c>
      <c r="H237" s="18" t="n"/>
      <c r="I237" s="19">
        <f>IF(OR(L237&lt;=0,C237&gt;=Parametry!$C$6),0,INDEX(G:G,ROW()+1))</f>
        <v/>
      </c>
      <c r="J237" s="20">
        <f>IF(D237&lt;=0,0,MIN(G237+N(H237),ROUND(D237+F237,2)))</f>
        <v/>
      </c>
      <c r="K237" s="16">
        <f>IF(J237&lt;=0,0,ROUND(MAX(0,J237-F237),2))</f>
        <v/>
      </c>
      <c r="L237" s="20">
        <f>IF(D237&lt;=0,0,ROUND(MAX(0,D237-K237),2))</f>
        <v/>
      </c>
      <c r="M237" s="21">
        <f>IF(L237&lt;=0,0,IFERROR(MATCH(TRUE,INDEX(L237:L327&lt;=0,0),0),91))</f>
        <v/>
      </c>
    </row>
    <row r="238" ht="18" customHeight="1">
      <c r="A238" s="22" t="n">
        <v>236</v>
      </c>
      <c r="B238" s="23">
        <f>IF(C238&lt;=Parametry!$C$6,DATE(Parametry!$C$12+INT((Parametry!$C$13+236-2)/12),MOD(Parametry!$C$13+236-2,12)+1,Parametry!$C$11),"")</f>
        <v/>
      </c>
      <c r="C238" s="24" t="n">
        <v>236</v>
      </c>
      <c r="D238" s="25">
        <f>IF(C238&lt;=Parametry!$C$6,L237,0)</f>
        <v/>
      </c>
      <c r="E238" s="26">
        <f>IF(OR(D238&lt;=0,C238&gt;Parametry!$C$6),0,IF(C238&lt;=Parametry!$C$9+1,Parametry!$C$8,Parametry!$C$10))</f>
        <v/>
      </c>
      <c r="F238" s="25">
        <f>IF(D238&lt;=0,0,ROUND(D238*E238/12,2))</f>
        <v/>
      </c>
      <c r="G238" s="25">
        <f>IF(OR(D238&lt;=0,C238&gt;Parametry!$C$6),0,MIN(IF(C238&lt;=Parametry!$C$9+1,Parametry!$C$7,Parametry!$C$14),ROUND(D238+F238,2)))</f>
        <v/>
      </c>
      <c r="H238" s="18" t="n"/>
      <c r="I238" s="19">
        <f>IF(OR(L238&lt;=0,C238&gt;=Parametry!$C$6),0,INDEX(G:G,ROW()+1))</f>
        <v/>
      </c>
      <c r="J238" s="27">
        <f>IF(D238&lt;=0,0,MIN(G238+N(H238),ROUND(D238+F238,2)))</f>
        <v/>
      </c>
      <c r="K238" s="25">
        <f>IF(J238&lt;=0,0,ROUND(MAX(0,J238-F238),2))</f>
        <v/>
      </c>
      <c r="L238" s="27">
        <f>IF(D238&lt;=0,0,ROUND(MAX(0,D238-K238),2))</f>
        <v/>
      </c>
      <c r="M238" s="28">
        <f>IF(L238&lt;=0,0,IFERROR(MATCH(TRUE,INDEX(L238:L327&lt;=0,0),0),90))</f>
        <v/>
      </c>
    </row>
    <row r="239" ht="18" customHeight="1">
      <c r="A239" s="13" t="n">
        <v>237</v>
      </c>
      <c r="B239" s="14">
        <f>IF(C239&lt;=Parametry!$C$6,DATE(Parametry!$C$12+INT((Parametry!$C$13+237-2)/12),MOD(Parametry!$C$13+237-2,12)+1,Parametry!$C$11),"")</f>
        <v/>
      </c>
      <c r="C239" s="15" t="n">
        <v>237</v>
      </c>
      <c r="D239" s="16">
        <f>IF(C239&lt;=Parametry!$C$6,L238,0)</f>
        <v/>
      </c>
      <c r="E239" s="17">
        <f>IF(OR(D239&lt;=0,C239&gt;Parametry!$C$6),0,IF(C239&lt;=Parametry!$C$9+1,Parametry!$C$8,Parametry!$C$10))</f>
        <v/>
      </c>
      <c r="F239" s="16">
        <f>IF(D239&lt;=0,0,ROUND(D239*E239/12,2))</f>
        <v/>
      </c>
      <c r="G239" s="16">
        <f>IF(OR(D239&lt;=0,C239&gt;Parametry!$C$6),0,MIN(IF(C239&lt;=Parametry!$C$9+1,Parametry!$C$7,Parametry!$C$14),ROUND(D239+F239,2)))</f>
        <v/>
      </c>
      <c r="H239" s="18" t="n"/>
      <c r="I239" s="19">
        <f>IF(OR(L239&lt;=0,C239&gt;=Parametry!$C$6),0,INDEX(G:G,ROW()+1))</f>
        <v/>
      </c>
      <c r="J239" s="20">
        <f>IF(D239&lt;=0,0,MIN(G239+N(H239),ROUND(D239+F239,2)))</f>
        <v/>
      </c>
      <c r="K239" s="16">
        <f>IF(J239&lt;=0,0,ROUND(MAX(0,J239-F239),2))</f>
        <v/>
      </c>
      <c r="L239" s="20">
        <f>IF(D239&lt;=0,0,ROUND(MAX(0,D239-K239),2))</f>
        <v/>
      </c>
      <c r="M239" s="21">
        <f>IF(L239&lt;=0,0,IFERROR(MATCH(TRUE,INDEX(L239:L327&lt;=0,0),0),89))</f>
        <v/>
      </c>
    </row>
    <row r="240" ht="18" customHeight="1">
      <c r="A240" s="22" t="n">
        <v>238</v>
      </c>
      <c r="B240" s="23">
        <f>IF(C240&lt;=Parametry!$C$6,DATE(Parametry!$C$12+INT((Parametry!$C$13+238-2)/12),MOD(Parametry!$C$13+238-2,12)+1,Parametry!$C$11),"")</f>
        <v/>
      </c>
      <c r="C240" s="24" t="n">
        <v>238</v>
      </c>
      <c r="D240" s="25">
        <f>IF(C240&lt;=Parametry!$C$6,L239,0)</f>
        <v/>
      </c>
      <c r="E240" s="26">
        <f>IF(OR(D240&lt;=0,C240&gt;Parametry!$C$6),0,IF(C240&lt;=Parametry!$C$9+1,Parametry!$C$8,Parametry!$C$10))</f>
        <v/>
      </c>
      <c r="F240" s="25">
        <f>IF(D240&lt;=0,0,ROUND(D240*E240/12,2))</f>
        <v/>
      </c>
      <c r="G240" s="25">
        <f>IF(OR(D240&lt;=0,C240&gt;Parametry!$C$6),0,MIN(IF(C240&lt;=Parametry!$C$9+1,Parametry!$C$7,Parametry!$C$14),ROUND(D240+F240,2)))</f>
        <v/>
      </c>
      <c r="H240" s="18" t="n"/>
      <c r="I240" s="19">
        <f>IF(OR(L240&lt;=0,C240&gt;=Parametry!$C$6),0,INDEX(G:G,ROW()+1))</f>
        <v/>
      </c>
      <c r="J240" s="27">
        <f>IF(D240&lt;=0,0,MIN(G240+N(H240),ROUND(D240+F240,2)))</f>
        <v/>
      </c>
      <c r="K240" s="25">
        <f>IF(J240&lt;=0,0,ROUND(MAX(0,J240-F240),2))</f>
        <v/>
      </c>
      <c r="L240" s="27">
        <f>IF(D240&lt;=0,0,ROUND(MAX(0,D240-K240),2))</f>
        <v/>
      </c>
      <c r="M240" s="28">
        <f>IF(L240&lt;=0,0,IFERROR(MATCH(TRUE,INDEX(L240:L327&lt;=0,0),0),88))</f>
        <v/>
      </c>
    </row>
    <row r="241" ht="18" customHeight="1">
      <c r="A241" s="13" t="n">
        <v>239</v>
      </c>
      <c r="B241" s="14">
        <f>IF(C241&lt;=Parametry!$C$6,DATE(Parametry!$C$12+INT((Parametry!$C$13+239-2)/12),MOD(Parametry!$C$13+239-2,12)+1,Parametry!$C$11),"")</f>
        <v/>
      </c>
      <c r="C241" s="15" t="n">
        <v>239</v>
      </c>
      <c r="D241" s="16">
        <f>IF(C241&lt;=Parametry!$C$6,L240,0)</f>
        <v/>
      </c>
      <c r="E241" s="17">
        <f>IF(OR(D241&lt;=0,C241&gt;Parametry!$C$6),0,IF(C241&lt;=Parametry!$C$9+1,Parametry!$C$8,Parametry!$C$10))</f>
        <v/>
      </c>
      <c r="F241" s="16">
        <f>IF(D241&lt;=0,0,ROUND(D241*E241/12,2))</f>
        <v/>
      </c>
      <c r="G241" s="16">
        <f>IF(OR(D241&lt;=0,C241&gt;Parametry!$C$6),0,MIN(IF(C241&lt;=Parametry!$C$9+1,Parametry!$C$7,Parametry!$C$14),ROUND(D241+F241,2)))</f>
        <v/>
      </c>
      <c r="H241" s="18" t="n"/>
      <c r="I241" s="19">
        <f>IF(OR(L241&lt;=0,C241&gt;=Parametry!$C$6),0,INDEX(G:G,ROW()+1))</f>
        <v/>
      </c>
      <c r="J241" s="20">
        <f>IF(D241&lt;=0,0,MIN(G241+N(H241),ROUND(D241+F241,2)))</f>
        <v/>
      </c>
      <c r="K241" s="16">
        <f>IF(J241&lt;=0,0,ROUND(MAX(0,J241-F241),2))</f>
        <v/>
      </c>
      <c r="L241" s="20">
        <f>IF(D241&lt;=0,0,ROUND(MAX(0,D241-K241),2))</f>
        <v/>
      </c>
      <c r="M241" s="21">
        <f>IF(L241&lt;=0,0,IFERROR(MATCH(TRUE,INDEX(L241:L327&lt;=0,0),0),87))</f>
        <v/>
      </c>
    </row>
    <row r="242" ht="18" customHeight="1">
      <c r="A242" s="22" t="n">
        <v>240</v>
      </c>
      <c r="B242" s="23">
        <f>IF(C242&lt;=Parametry!$C$6,DATE(Parametry!$C$12+INT((Parametry!$C$13+240-2)/12),MOD(Parametry!$C$13+240-2,12)+1,Parametry!$C$11),"")</f>
        <v/>
      </c>
      <c r="C242" s="24" t="n">
        <v>240</v>
      </c>
      <c r="D242" s="25">
        <f>IF(C242&lt;=Parametry!$C$6,L241,0)</f>
        <v/>
      </c>
      <c r="E242" s="26">
        <f>IF(OR(D242&lt;=0,C242&gt;Parametry!$C$6),0,IF(C242&lt;=Parametry!$C$9+1,Parametry!$C$8,Parametry!$C$10))</f>
        <v/>
      </c>
      <c r="F242" s="25">
        <f>IF(D242&lt;=0,0,ROUND(D242*E242/12,2))</f>
        <v/>
      </c>
      <c r="G242" s="25">
        <f>IF(OR(D242&lt;=0,C242&gt;Parametry!$C$6),0,MIN(IF(C242&lt;=Parametry!$C$9+1,Parametry!$C$7,Parametry!$C$14),ROUND(D242+F242,2)))</f>
        <v/>
      </c>
      <c r="H242" s="18" t="n"/>
      <c r="I242" s="19">
        <f>IF(OR(L242&lt;=0,C242&gt;=Parametry!$C$6),0,INDEX(G:G,ROW()+1))</f>
        <v/>
      </c>
      <c r="J242" s="27">
        <f>IF(D242&lt;=0,0,MIN(G242+N(H242),ROUND(D242+F242,2)))</f>
        <v/>
      </c>
      <c r="K242" s="25">
        <f>IF(J242&lt;=0,0,ROUND(MAX(0,J242-F242),2))</f>
        <v/>
      </c>
      <c r="L242" s="27">
        <f>IF(D242&lt;=0,0,ROUND(MAX(0,D242-K242),2))</f>
        <v/>
      </c>
      <c r="M242" s="28">
        <f>IF(L242&lt;=0,0,IFERROR(MATCH(TRUE,INDEX(L242:L327&lt;=0,0),0),86))</f>
        <v/>
      </c>
    </row>
    <row r="243" ht="18" customHeight="1">
      <c r="A243" s="13" t="n">
        <v>241</v>
      </c>
      <c r="B243" s="14">
        <f>IF(C243&lt;=Parametry!$C$6,DATE(Parametry!$C$12+INT((Parametry!$C$13+241-2)/12),MOD(Parametry!$C$13+241-2,12)+1,Parametry!$C$11),"")</f>
        <v/>
      </c>
      <c r="C243" s="15" t="n">
        <v>241</v>
      </c>
      <c r="D243" s="16">
        <f>IF(C243&lt;=Parametry!$C$6,L242,0)</f>
        <v/>
      </c>
      <c r="E243" s="17">
        <f>IF(OR(D243&lt;=0,C243&gt;Parametry!$C$6),0,IF(C243&lt;=Parametry!$C$9+1,Parametry!$C$8,Parametry!$C$10))</f>
        <v/>
      </c>
      <c r="F243" s="16">
        <f>IF(D243&lt;=0,0,ROUND(D243*E243/12,2))</f>
        <v/>
      </c>
      <c r="G243" s="16">
        <f>IF(OR(D243&lt;=0,C243&gt;Parametry!$C$6),0,MIN(IF(C243&lt;=Parametry!$C$9+1,Parametry!$C$7,Parametry!$C$14),ROUND(D243+F243,2)))</f>
        <v/>
      </c>
      <c r="H243" s="18" t="n"/>
      <c r="I243" s="19">
        <f>IF(OR(L243&lt;=0,C243&gt;=Parametry!$C$6),0,INDEX(G:G,ROW()+1))</f>
        <v/>
      </c>
      <c r="J243" s="20">
        <f>IF(D243&lt;=0,0,MIN(G243+N(H243),ROUND(D243+F243,2)))</f>
        <v/>
      </c>
      <c r="K243" s="16">
        <f>IF(J243&lt;=0,0,ROUND(MAX(0,J243-F243),2))</f>
        <v/>
      </c>
      <c r="L243" s="20">
        <f>IF(D243&lt;=0,0,ROUND(MAX(0,D243-K243),2))</f>
        <v/>
      </c>
      <c r="M243" s="21">
        <f>IF(L243&lt;=0,0,IFERROR(MATCH(TRUE,INDEX(L243:L327&lt;=0,0),0),85))</f>
        <v/>
      </c>
    </row>
    <row r="244" ht="18" customHeight="1">
      <c r="A244" s="22" t="n">
        <v>242</v>
      </c>
      <c r="B244" s="23">
        <f>IF(C244&lt;=Parametry!$C$6,DATE(Parametry!$C$12+INT((Parametry!$C$13+242-2)/12),MOD(Parametry!$C$13+242-2,12)+1,Parametry!$C$11),"")</f>
        <v/>
      </c>
      <c r="C244" s="24" t="n">
        <v>242</v>
      </c>
      <c r="D244" s="25">
        <f>IF(C244&lt;=Parametry!$C$6,L243,0)</f>
        <v/>
      </c>
      <c r="E244" s="26">
        <f>IF(OR(D244&lt;=0,C244&gt;Parametry!$C$6),0,IF(C244&lt;=Parametry!$C$9+1,Parametry!$C$8,Parametry!$C$10))</f>
        <v/>
      </c>
      <c r="F244" s="25">
        <f>IF(D244&lt;=0,0,ROUND(D244*E244/12,2))</f>
        <v/>
      </c>
      <c r="G244" s="25">
        <f>IF(OR(D244&lt;=0,C244&gt;Parametry!$C$6),0,MIN(IF(C244&lt;=Parametry!$C$9+1,Parametry!$C$7,Parametry!$C$14),ROUND(D244+F244,2)))</f>
        <v/>
      </c>
      <c r="H244" s="18" t="n"/>
      <c r="I244" s="19">
        <f>IF(OR(L244&lt;=0,C244&gt;=Parametry!$C$6),0,INDEX(G:G,ROW()+1))</f>
        <v/>
      </c>
      <c r="J244" s="27">
        <f>IF(D244&lt;=0,0,MIN(G244+N(H244),ROUND(D244+F244,2)))</f>
        <v/>
      </c>
      <c r="K244" s="25">
        <f>IF(J244&lt;=0,0,ROUND(MAX(0,J244-F244),2))</f>
        <v/>
      </c>
      <c r="L244" s="27">
        <f>IF(D244&lt;=0,0,ROUND(MAX(0,D244-K244),2))</f>
        <v/>
      </c>
      <c r="M244" s="28">
        <f>IF(L244&lt;=0,0,IFERROR(MATCH(TRUE,INDEX(L244:L327&lt;=0,0),0),84))</f>
        <v/>
      </c>
    </row>
    <row r="245" ht="18" customHeight="1">
      <c r="A245" s="13" t="n">
        <v>243</v>
      </c>
      <c r="B245" s="14">
        <f>IF(C245&lt;=Parametry!$C$6,DATE(Parametry!$C$12+INT((Parametry!$C$13+243-2)/12),MOD(Parametry!$C$13+243-2,12)+1,Parametry!$C$11),"")</f>
        <v/>
      </c>
      <c r="C245" s="15" t="n">
        <v>243</v>
      </c>
      <c r="D245" s="16">
        <f>IF(C245&lt;=Parametry!$C$6,L244,0)</f>
        <v/>
      </c>
      <c r="E245" s="17">
        <f>IF(OR(D245&lt;=0,C245&gt;Parametry!$C$6),0,IF(C245&lt;=Parametry!$C$9+1,Parametry!$C$8,Parametry!$C$10))</f>
        <v/>
      </c>
      <c r="F245" s="16">
        <f>IF(D245&lt;=0,0,ROUND(D245*E245/12,2))</f>
        <v/>
      </c>
      <c r="G245" s="16">
        <f>IF(OR(D245&lt;=0,C245&gt;Parametry!$C$6),0,MIN(IF(C245&lt;=Parametry!$C$9+1,Parametry!$C$7,Parametry!$C$14),ROUND(D245+F245,2)))</f>
        <v/>
      </c>
      <c r="H245" s="18" t="n"/>
      <c r="I245" s="19">
        <f>IF(OR(L245&lt;=0,C245&gt;=Parametry!$C$6),0,INDEX(G:G,ROW()+1))</f>
        <v/>
      </c>
      <c r="J245" s="20">
        <f>IF(D245&lt;=0,0,MIN(G245+N(H245),ROUND(D245+F245,2)))</f>
        <v/>
      </c>
      <c r="K245" s="16">
        <f>IF(J245&lt;=0,0,ROUND(MAX(0,J245-F245),2))</f>
        <v/>
      </c>
      <c r="L245" s="20">
        <f>IF(D245&lt;=0,0,ROUND(MAX(0,D245-K245),2))</f>
        <v/>
      </c>
      <c r="M245" s="21">
        <f>IF(L245&lt;=0,0,IFERROR(MATCH(TRUE,INDEX(L245:L327&lt;=0,0),0),83))</f>
        <v/>
      </c>
    </row>
    <row r="246" ht="18" customHeight="1">
      <c r="A246" s="22" t="n">
        <v>244</v>
      </c>
      <c r="B246" s="23">
        <f>IF(C246&lt;=Parametry!$C$6,DATE(Parametry!$C$12+INT((Parametry!$C$13+244-2)/12),MOD(Parametry!$C$13+244-2,12)+1,Parametry!$C$11),"")</f>
        <v/>
      </c>
      <c r="C246" s="24" t="n">
        <v>244</v>
      </c>
      <c r="D246" s="25">
        <f>IF(C246&lt;=Parametry!$C$6,L245,0)</f>
        <v/>
      </c>
      <c r="E246" s="26">
        <f>IF(OR(D246&lt;=0,C246&gt;Parametry!$C$6),0,IF(C246&lt;=Parametry!$C$9+1,Parametry!$C$8,Parametry!$C$10))</f>
        <v/>
      </c>
      <c r="F246" s="25">
        <f>IF(D246&lt;=0,0,ROUND(D246*E246/12,2))</f>
        <v/>
      </c>
      <c r="G246" s="25">
        <f>IF(OR(D246&lt;=0,C246&gt;Parametry!$C$6),0,MIN(IF(C246&lt;=Parametry!$C$9+1,Parametry!$C$7,Parametry!$C$14),ROUND(D246+F246,2)))</f>
        <v/>
      </c>
      <c r="H246" s="18" t="n"/>
      <c r="I246" s="19">
        <f>IF(OR(L246&lt;=0,C246&gt;=Parametry!$C$6),0,INDEX(G:G,ROW()+1))</f>
        <v/>
      </c>
      <c r="J246" s="27">
        <f>IF(D246&lt;=0,0,MIN(G246+N(H246),ROUND(D246+F246,2)))</f>
        <v/>
      </c>
      <c r="K246" s="25">
        <f>IF(J246&lt;=0,0,ROUND(MAX(0,J246-F246),2))</f>
        <v/>
      </c>
      <c r="L246" s="27">
        <f>IF(D246&lt;=0,0,ROUND(MAX(0,D246-K246),2))</f>
        <v/>
      </c>
      <c r="M246" s="28">
        <f>IF(L246&lt;=0,0,IFERROR(MATCH(TRUE,INDEX(L246:L327&lt;=0,0),0),82))</f>
        <v/>
      </c>
    </row>
    <row r="247" ht="18" customHeight="1">
      <c r="A247" s="13" t="n">
        <v>245</v>
      </c>
      <c r="B247" s="14">
        <f>IF(C247&lt;=Parametry!$C$6,DATE(Parametry!$C$12+INT((Parametry!$C$13+245-2)/12),MOD(Parametry!$C$13+245-2,12)+1,Parametry!$C$11),"")</f>
        <v/>
      </c>
      <c r="C247" s="15" t="n">
        <v>245</v>
      </c>
      <c r="D247" s="16">
        <f>IF(C247&lt;=Parametry!$C$6,L246,0)</f>
        <v/>
      </c>
      <c r="E247" s="17">
        <f>IF(OR(D247&lt;=0,C247&gt;Parametry!$C$6),0,IF(C247&lt;=Parametry!$C$9+1,Parametry!$C$8,Parametry!$C$10))</f>
        <v/>
      </c>
      <c r="F247" s="16">
        <f>IF(D247&lt;=0,0,ROUND(D247*E247/12,2))</f>
        <v/>
      </c>
      <c r="G247" s="16">
        <f>IF(OR(D247&lt;=0,C247&gt;Parametry!$C$6),0,MIN(IF(C247&lt;=Parametry!$C$9+1,Parametry!$C$7,Parametry!$C$14),ROUND(D247+F247,2)))</f>
        <v/>
      </c>
      <c r="H247" s="18" t="n"/>
      <c r="I247" s="19">
        <f>IF(OR(L247&lt;=0,C247&gt;=Parametry!$C$6),0,INDEX(G:G,ROW()+1))</f>
        <v/>
      </c>
      <c r="J247" s="20">
        <f>IF(D247&lt;=0,0,MIN(G247+N(H247),ROUND(D247+F247,2)))</f>
        <v/>
      </c>
      <c r="K247" s="16">
        <f>IF(J247&lt;=0,0,ROUND(MAX(0,J247-F247),2))</f>
        <v/>
      </c>
      <c r="L247" s="20">
        <f>IF(D247&lt;=0,0,ROUND(MAX(0,D247-K247),2))</f>
        <v/>
      </c>
      <c r="M247" s="21">
        <f>IF(L247&lt;=0,0,IFERROR(MATCH(TRUE,INDEX(L247:L327&lt;=0,0),0),81))</f>
        <v/>
      </c>
    </row>
    <row r="248" ht="18" customHeight="1">
      <c r="A248" s="22" t="n">
        <v>246</v>
      </c>
      <c r="B248" s="23">
        <f>IF(C248&lt;=Parametry!$C$6,DATE(Parametry!$C$12+INT((Parametry!$C$13+246-2)/12),MOD(Parametry!$C$13+246-2,12)+1,Parametry!$C$11),"")</f>
        <v/>
      </c>
      <c r="C248" s="24" t="n">
        <v>246</v>
      </c>
      <c r="D248" s="25">
        <f>IF(C248&lt;=Parametry!$C$6,L247,0)</f>
        <v/>
      </c>
      <c r="E248" s="26">
        <f>IF(OR(D248&lt;=0,C248&gt;Parametry!$C$6),0,IF(C248&lt;=Parametry!$C$9+1,Parametry!$C$8,Parametry!$C$10))</f>
        <v/>
      </c>
      <c r="F248" s="25">
        <f>IF(D248&lt;=0,0,ROUND(D248*E248/12,2))</f>
        <v/>
      </c>
      <c r="G248" s="25">
        <f>IF(OR(D248&lt;=0,C248&gt;Parametry!$C$6),0,MIN(IF(C248&lt;=Parametry!$C$9+1,Parametry!$C$7,Parametry!$C$14),ROUND(D248+F248,2)))</f>
        <v/>
      </c>
      <c r="H248" s="18" t="n"/>
      <c r="I248" s="19">
        <f>IF(OR(L248&lt;=0,C248&gt;=Parametry!$C$6),0,INDEX(G:G,ROW()+1))</f>
        <v/>
      </c>
      <c r="J248" s="27">
        <f>IF(D248&lt;=0,0,MIN(G248+N(H248),ROUND(D248+F248,2)))</f>
        <v/>
      </c>
      <c r="K248" s="25">
        <f>IF(J248&lt;=0,0,ROUND(MAX(0,J248-F248),2))</f>
        <v/>
      </c>
      <c r="L248" s="27">
        <f>IF(D248&lt;=0,0,ROUND(MAX(0,D248-K248),2))</f>
        <v/>
      </c>
      <c r="M248" s="28">
        <f>IF(L248&lt;=0,0,IFERROR(MATCH(TRUE,INDEX(L248:L327&lt;=0,0),0),80))</f>
        <v/>
      </c>
    </row>
    <row r="249" ht="18" customHeight="1">
      <c r="A249" s="13" t="n">
        <v>247</v>
      </c>
      <c r="B249" s="14">
        <f>IF(C249&lt;=Parametry!$C$6,DATE(Parametry!$C$12+INT((Parametry!$C$13+247-2)/12),MOD(Parametry!$C$13+247-2,12)+1,Parametry!$C$11),"")</f>
        <v/>
      </c>
      <c r="C249" s="15" t="n">
        <v>247</v>
      </c>
      <c r="D249" s="16">
        <f>IF(C249&lt;=Parametry!$C$6,L248,0)</f>
        <v/>
      </c>
      <c r="E249" s="17">
        <f>IF(OR(D249&lt;=0,C249&gt;Parametry!$C$6),0,IF(C249&lt;=Parametry!$C$9+1,Parametry!$C$8,Parametry!$C$10))</f>
        <v/>
      </c>
      <c r="F249" s="16">
        <f>IF(D249&lt;=0,0,ROUND(D249*E249/12,2))</f>
        <v/>
      </c>
      <c r="G249" s="16">
        <f>IF(OR(D249&lt;=0,C249&gt;Parametry!$C$6),0,MIN(IF(C249&lt;=Parametry!$C$9+1,Parametry!$C$7,Parametry!$C$14),ROUND(D249+F249,2)))</f>
        <v/>
      </c>
      <c r="H249" s="18" t="n"/>
      <c r="I249" s="19">
        <f>IF(OR(L249&lt;=0,C249&gt;=Parametry!$C$6),0,INDEX(G:G,ROW()+1))</f>
        <v/>
      </c>
      <c r="J249" s="20">
        <f>IF(D249&lt;=0,0,MIN(G249+N(H249),ROUND(D249+F249,2)))</f>
        <v/>
      </c>
      <c r="K249" s="16">
        <f>IF(J249&lt;=0,0,ROUND(MAX(0,J249-F249),2))</f>
        <v/>
      </c>
      <c r="L249" s="20">
        <f>IF(D249&lt;=0,0,ROUND(MAX(0,D249-K249),2))</f>
        <v/>
      </c>
      <c r="M249" s="21">
        <f>IF(L249&lt;=0,0,IFERROR(MATCH(TRUE,INDEX(L249:L327&lt;=0,0),0),79))</f>
        <v/>
      </c>
    </row>
    <row r="250" ht="18" customHeight="1">
      <c r="A250" s="22" t="n">
        <v>248</v>
      </c>
      <c r="B250" s="23">
        <f>IF(C250&lt;=Parametry!$C$6,DATE(Parametry!$C$12+INT((Parametry!$C$13+248-2)/12),MOD(Parametry!$C$13+248-2,12)+1,Parametry!$C$11),"")</f>
        <v/>
      </c>
      <c r="C250" s="24" t="n">
        <v>248</v>
      </c>
      <c r="D250" s="25">
        <f>IF(C250&lt;=Parametry!$C$6,L249,0)</f>
        <v/>
      </c>
      <c r="E250" s="26">
        <f>IF(OR(D250&lt;=0,C250&gt;Parametry!$C$6),0,IF(C250&lt;=Parametry!$C$9+1,Parametry!$C$8,Parametry!$C$10))</f>
        <v/>
      </c>
      <c r="F250" s="25">
        <f>IF(D250&lt;=0,0,ROUND(D250*E250/12,2))</f>
        <v/>
      </c>
      <c r="G250" s="25">
        <f>IF(OR(D250&lt;=0,C250&gt;Parametry!$C$6),0,MIN(IF(C250&lt;=Parametry!$C$9+1,Parametry!$C$7,Parametry!$C$14),ROUND(D250+F250,2)))</f>
        <v/>
      </c>
      <c r="H250" s="18" t="n"/>
      <c r="I250" s="19">
        <f>IF(OR(L250&lt;=0,C250&gt;=Parametry!$C$6),0,INDEX(G:G,ROW()+1))</f>
        <v/>
      </c>
      <c r="J250" s="27">
        <f>IF(D250&lt;=0,0,MIN(G250+N(H250),ROUND(D250+F250,2)))</f>
        <v/>
      </c>
      <c r="K250" s="25">
        <f>IF(J250&lt;=0,0,ROUND(MAX(0,J250-F250),2))</f>
        <v/>
      </c>
      <c r="L250" s="27">
        <f>IF(D250&lt;=0,0,ROUND(MAX(0,D250-K250),2))</f>
        <v/>
      </c>
      <c r="M250" s="28">
        <f>IF(L250&lt;=0,0,IFERROR(MATCH(TRUE,INDEX(L250:L327&lt;=0,0),0),78))</f>
        <v/>
      </c>
    </row>
    <row r="251" ht="18" customHeight="1">
      <c r="A251" s="13" t="n">
        <v>249</v>
      </c>
      <c r="B251" s="14">
        <f>IF(C251&lt;=Parametry!$C$6,DATE(Parametry!$C$12+INT((Parametry!$C$13+249-2)/12),MOD(Parametry!$C$13+249-2,12)+1,Parametry!$C$11),"")</f>
        <v/>
      </c>
      <c r="C251" s="15" t="n">
        <v>249</v>
      </c>
      <c r="D251" s="16">
        <f>IF(C251&lt;=Parametry!$C$6,L250,0)</f>
        <v/>
      </c>
      <c r="E251" s="17">
        <f>IF(OR(D251&lt;=0,C251&gt;Parametry!$C$6),0,IF(C251&lt;=Parametry!$C$9+1,Parametry!$C$8,Parametry!$C$10))</f>
        <v/>
      </c>
      <c r="F251" s="16">
        <f>IF(D251&lt;=0,0,ROUND(D251*E251/12,2))</f>
        <v/>
      </c>
      <c r="G251" s="16">
        <f>IF(OR(D251&lt;=0,C251&gt;Parametry!$C$6),0,MIN(IF(C251&lt;=Parametry!$C$9+1,Parametry!$C$7,Parametry!$C$14),ROUND(D251+F251,2)))</f>
        <v/>
      </c>
      <c r="H251" s="18" t="n"/>
      <c r="I251" s="19">
        <f>IF(OR(L251&lt;=0,C251&gt;=Parametry!$C$6),0,INDEX(G:G,ROW()+1))</f>
        <v/>
      </c>
      <c r="J251" s="20">
        <f>IF(D251&lt;=0,0,MIN(G251+N(H251),ROUND(D251+F251,2)))</f>
        <v/>
      </c>
      <c r="K251" s="16">
        <f>IF(J251&lt;=0,0,ROUND(MAX(0,J251-F251),2))</f>
        <v/>
      </c>
      <c r="L251" s="20">
        <f>IF(D251&lt;=0,0,ROUND(MAX(0,D251-K251),2))</f>
        <v/>
      </c>
      <c r="M251" s="21">
        <f>IF(L251&lt;=0,0,IFERROR(MATCH(TRUE,INDEX(L251:L327&lt;=0,0),0),77))</f>
        <v/>
      </c>
    </row>
    <row r="252" ht="18" customHeight="1">
      <c r="A252" s="22" t="n">
        <v>250</v>
      </c>
      <c r="B252" s="23">
        <f>IF(C252&lt;=Parametry!$C$6,DATE(Parametry!$C$12+INT((Parametry!$C$13+250-2)/12),MOD(Parametry!$C$13+250-2,12)+1,Parametry!$C$11),"")</f>
        <v/>
      </c>
      <c r="C252" s="24" t="n">
        <v>250</v>
      </c>
      <c r="D252" s="25">
        <f>IF(C252&lt;=Parametry!$C$6,L251,0)</f>
        <v/>
      </c>
      <c r="E252" s="26">
        <f>IF(OR(D252&lt;=0,C252&gt;Parametry!$C$6),0,IF(C252&lt;=Parametry!$C$9+1,Parametry!$C$8,Parametry!$C$10))</f>
        <v/>
      </c>
      <c r="F252" s="25">
        <f>IF(D252&lt;=0,0,ROUND(D252*E252/12,2))</f>
        <v/>
      </c>
      <c r="G252" s="25">
        <f>IF(OR(D252&lt;=0,C252&gt;Parametry!$C$6),0,MIN(IF(C252&lt;=Parametry!$C$9+1,Parametry!$C$7,Parametry!$C$14),ROUND(D252+F252,2)))</f>
        <v/>
      </c>
      <c r="H252" s="18" t="n"/>
      <c r="I252" s="19">
        <f>IF(OR(L252&lt;=0,C252&gt;=Parametry!$C$6),0,INDEX(G:G,ROW()+1))</f>
        <v/>
      </c>
      <c r="J252" s="27">
        <f>IF(D252&lt;=0,0,MIN(G252+N(H252),ROUND(D252+F252,2)))</f>
        <v/>
      </c>
      <c r="K252" s="25">
        <f>IF(J252&lt;=0,0,ROUND(MAX(0,J252-F252),2))</f>
        <v/>
      </c>
      <c r="L252" s="27">
        <f>IF(D252&lt;=0,0,ROUND(MAX(0,D252-K252),2))</f>
        <v/>
      </c>
      <c r="M252" s="28">
        <f>IF(L252&lt;=0,0,IFERROR(MATCH(TRUE,INDEX(L252:L327&lt;=0,0),0),76))</f>
        <v/>
      </c>
    </row>
    <row r="253" ht="18" customHeight="1">
      <c r="A253" s="13" t="n">
        <v>251</v>
      </c>
      <c r="B253" s="14">
        <f>IF(C253&lt;=Parametry!$C$6,DATE(Parametry!$C$12+INT((Parametry!$C$13+251-2)/12),MOD(Parametry!$C$13+251-2,12)+1,Parametry!$C$11),"")</f>
        <v/>
      </c>
      <c r="C253" s="15" t="n">
        <v>251</v>
      </c>
      <c r="D253" s="16">
        <f>IF(C253&lt;=Parametry!$C$6,L252,0)</f>
        <v/>
      </c>
      <c r="E253" s="17">
        <f>IF(OR(D253&lt;=0,C253&gt;Parametry!$C$6),0,IF(C253&lt;=Parametry!$C$9+1,Parametry!$C$8,Parametry!$C$10))</f>
        <v/>
      </c>
      <c r="F253" s="16">
        <f>IF(D253&lt;=0,0,ROUND(D253*E253/12,2))</f>
        <v/>
      </c>
      <c r="G253" s="16">
        <f>IF(OR(D253&lt;=0,C253&gt;Parametry!$C$6),0,MIN(IF(C253&lt;=Parametry!$C$9+1,Parametry!$C$7,Parametry!$C$14),ROUND(D253+F253,2)))</f>
        <v/>
      </c>
      <c r="H253" s="18" t="n"/>
      <c r="I253" s="19">
        <f>IF(OR(L253&lt;=0,C253&gt;=Parametry!$C$6),0,INDEX(G:G,ROW()+1))</f>
        <v/>
      </c>
      <c r="J253" s="20">
        <f>IF(D253&lt;=0,0,MIN(G253+N(H253),ROUND(D253+F253,2)))</f>
        <v/>
      </c>
      <c r="K253" s="16">
        <f>IF(J253&lt;=0,0,ROUND(MAX(0,J253-F253),2))</f>
        <v/>
      </c>
      <c r="L253" s="20">
        <f>IF(D253&lt;=0,0,ROUND(MAX(0,D253-K253),2))</f>
        <v/>
      </c>
      <c r="M253" s="21">
        <f>IF(L253&lt;=0,0,IFERROR(MATCH(TRUE,INDEX(L253:L327&lt;=0,0),0),75))</f>
        <v/>
      </c>
    </row>
    <row r="254" ht="18" customHeight="1">
      <c r="A254" s="22" t="n">
        <v>252</v>
      </c>
      <c r="B254" s="23">
        <f>IF(C254&lt;=Parametry!$C$6,DATE(Parametry!$C$12+INT((Parametry!$C$13+252-2)/12),MOD(Parametry!$C$13+252-2,12)+1,Parametry!$C$11),"")</f>
        <v/>
      </c>
      <c r="C254" s="24" t="n">
        <v>252</v>
      </c>
      <c r="D254" s="25">
        <f>IF(C254&lt;=Parametry!$C$6,L253,0)</f>
        <v/>
      </c>
      <c r="E254" s="26">
        <f>IF(OR(D254&lt;=0,C254&gt;Parametry!$C$6),0,IF(C254&lt;=Parametry!$C$9+1,Parametry!$C$8,Parametry!$C$10))</f>
        <v/>
      </c>
      <c r="F254" s="25">
        <f>IF(D254&lt;=0,0,ROUND(D254*E254/12,2))</f>
        <v/>
      </c>
      <c r="G254" s="25">
        <f>IF(OR(D254&lt;=0,C254&gt;Parametry!$C$6),0,MIN(IF(C254&lt;=Parametry!$C$9+1,Parametry!$C$7,Parametry!$C$14),ROUND(D254+F254,2)))</f>
        <v/>
      </c>
      <c r="H254" s="18" t="n"/>
      <c r="I254" s="19">
        <f>IF(OR(L254&lt;=0,C254&gt;=Parametry!$C$6),0,INDEX(G:G,ROW()+1))</f>
        <v/>
      </c>
      <c r="J254" s="27">
        <f>IF(D254&lt;=0,0,MIN(G254+N(H254),ROUND(D254+F254,2)))</f>
        <v/>
      </c>
      <c r="K254" s="25">
        <f>IF(J254&lt;=0,0,ROUND(MAX(0,J254-F254),2))</f>
        <v/>
      </c>
      <c r="L254" s="27">
        <f>IF(D254&lt;=0,0,ROUND(MAX(0,D254-K254),2))</f>
        <v/>
      </c>
      <c r="M254" s="28">
        <f>IF(L254&lt;=0,0,IFERROR(MATCH(TRUE,INDEX(L254:L327&lt;=0,0),0),74))</f>
        <v/>
      </c>
    </row>
    <row r="255" ht="18" customHeight="1">
      <c r="A255" s="13" t="n">
        <v>253</v>
      </c>
      <c r="B255" s="14">
        <f>IF(C255&lt;=Parametry!$C$6,DATE(Parametry!$C$12+INT((Parametry!$C$13+253-2)/12),MOD(Parametry!$C$13+253-2,12)+1,Parametry!$C$11),"")</f>
        <v/>
      </c>
      <c r="C255" s="15" t="n">
        <v>253</v>
      </c>
      <c r="D255" s="16">
        <f>IF(C255&lt;=Parametry!$C$6,L254,0)</f>
        <v/>
      </c>
      <c r="E255" s="17">
        <f>IF(OR(D255&lt;=0,C255&gt;Parametry!$C$6),0,IF(C255&lt;=Parametry!$C$9+1,Parametry!$C$8,Parametry!$C$10))</f>
        <v/>
      </c>
      <c r="F255" s="16">
        <f>IF(D255&lt;=0,0,ROUND(D255*E255/12,2))</f>
        <v/>
      </c>
      <c r="G255" s="16">
        <f>IF(OR(D255&lt;=0,C255&gt;Parametry!$C$6),0,MIN(IF(C255&lt;=Parametry!$C$9+1,Parametry!$C$7,Parametry!$C$14),ROUND(D255+F255,2)))</f>
        <v/>
      </c>
      <c r="H255" s="18" t="n"/>
      <c r="I255" s="19">
        <f>IF(OR(L255&lt;=0,C255&gt;=Parametry!$C$6),0,INDEX(G:G,ROW()+1))</f>
        <v/>
      </c>
      <c r="J255" s="20">
        <f>IF(D255&lt;=0,0,MIN(G255+N(H255),ROUND(D255+F255,2)))</f>
        <v/>
      </c>
      <c r="K255" s="16">
        <f>IF(J255&lt;=0,0,ROUND(MAX(0,J255-F255),2))</f>
        <v/>
      </c>
      <c r="L255" s="20">
        <f>IF(D255&lt;=0,0,ROUND(MAX(0,D255-K255),2))</f>
        <v/>
      </c>
      <c r="M255" s="21">
        <f>IF(L255&lt;=0,0,IFERROR(MATCH(TRUE,INDEX(L255:L327&lt;=0,0),0),73))</f>
        <v/>
      </c>
    </row>
    <row r="256" ht="18" customHeight="1">
      <c r="A256" s="22" t="n">
        <v>254</v>
      </c>
      <c r="B256" s="23">
        <f>IF(C256&lt;=Parametry!$C$6,DATE(Parametry!$C$12+INT((Parametry!$C$13+254-2)/12),MOD(Parametry!$C$13+254-2,12)+1,Parametry!$C$11),"")</f>
        <v/>
      </c>
      <c r="C256" s="24" t="n">
        <v>254</v>
      </c>
      <c r="D256" s="25">
        <f>IF(C256&lt;=Parametry!$C$6,L255,0)</f>
        <v/>
      </c>
      <c r="E256" s="26">
        <f>IF(OR(D256&lt;=0,C256&gt;Parametry!$C$6),0,IF(C256&lt;=Parametry!$C$9+1,Parametry!$C$8,Parametry!$C$10))</f>
        <v/>
      </c>
      <c r="F256" s="25">
        <f>IF(D256&lt;=0,0,ROUND(D256*E256/12,2))</f>
        <v/>
      </c>
      <c r="G256" s="25">
        <f>IF(OR(D256&lt;=0,C256&gt;Parametry!$C$6),0,MIN(IF(C256&lt;=Parametry!$C$9+1,Parametry!$C$7,Parametry!$C$14),ROUND(D256+F256,2)))</f>
        <v/>
      </c>
      <c r="H256" s="18" t="n"/>
      <c r="I256" s="19">
        <f>IF(OR(L256&lt;=0,C256&gt;=Parametry!$C$6),0,INDEX(G:G,ROW()+1))</f>
        <v/>
      </c>
      <c r="J256" s="27">
        <f>IF(D256&lt;=0,0,MIN(G256+N(H256),ROUND(D256+F256,2)))</f>
        <v/>
      </c>
      <c r="K256" s="25">
        <f>IF(J256&lt;=0,0,ROUND(MAX(0,J256-F256),2))</f>
        <v/>
      </c>
      <c r="L256" s="27">
        <f>IF(D256&lt;=0,0,ROUND(MAX(0,D256-K256),2))</f>
        <v/>
      </c>
      <c r="M256" s="28">
        <f>IF(L256&lt;=0,0,IFERROR(MATCH(TRUE,INDEX(L256:L327&lt;=0,0),0),72))</f>
        <v/>
      </c>
    </row>
    <row r="257" ht="18" customHeight="1">
      <c r="A257" s="13" t="n">
        <v>255</v>
      </c>
      <c r="B257" s="14">
        <f>IF(C257&lt;=Parametry!$C$6,DATE(Parametry!$C$12+INT((Parametry!$C$13+255-2)/12),MOD(Parametry!$C$13+255-2,12)+1,Parametry!$C$11),"")</f>
        <v/>
      </c>
      <c r="C257" s="15" t="n">
        <v>255</v>
      </c>
      <c r="D257" s="16">
        <f>IF(C257&lt;=Parametry!$C$6,L256,0)</f>
        <v/>
      </c>
      <c r="E257" s="17">
        <f>IF(OR(D257&lt;=0,C257&gt;Parametry!$C$6),0,IF(C257&lt;=Parametry!$C$9+1,Parametry!$C$8,Parametry!$C$10))</f>
        <v/>
      </c>
      <c r="F257" s="16">
        <f>IF(D257&lt;=0,0,ROUND(D257*E257/12,2))</f>
        <v/>
      </c>
      <c r="G257" s="16">
        <f>IF(OR(D257&lt;=0,C257&gt;Parametry!$C$6),0,MIN(IF(C257&lt;=Parametry!$C$9+1,Parametry!$C$7,Parametry!$C$14),ROUND(D257+F257,2)))</f>
        <v/>
      </c>
      <c r="H257" s="18" t="n"/>
      <c r="I257" s="19">
        <f>IF(OR(L257&lt;=0,C257&gt;=Parametry!$C$6),0,INDEX(G:G,ROW()+1))</f>
        <v/>
      </c>
      <c r="J257" s="20">
        <f>IF(D257&lt;=0,0,MIN(G257+N(H257),ROUND(D257+F257,2)))</f>
        <v/>
      </c>
      <c r="K257" s="16">
        <f>IF(J257&lt;=0,0,ROUND(MAX(0,J257-F257),2))</f>
        <v/>
      </c>
      <c r="L257" s="20">
        <f>IF(D257&lt;=0,0,ROUND(MAX(0,D257-K257),2))</f>
        <v/>
      </c>
      <c r="M257" s="21">
        <f>IF(L257&lt;=0,0,IFERROR(MATCH(TRUE,INDEX(L257:L327&lt;=0,0),0),71))</f>
        <v/>
      </c>
    </row>
    <row r="258" ht="18" customHeight="1">
      <c r="A258" s="22" t="n">
        <v>256</v>
      </c>
      <c r="B258" s="23">
        <f>IF(C258&lt;=Parametry!$C$6,DATE(Parametry!$C$12+INT((Parametry!$C$13+256-2)/12),MOD(Parametry!$C$13+256-2,12)+1,Parametry!$C$11),"")</f>
        <v/>
      </c>
      <c r="C258" s="24" t="n">
        <v>256</v>
      </c>
      <c r="D258" s="25">
        <f>IF(C258&lt;=Parametry!$C$6,L257,0)</f>
        <v/>
      </c>
      <c r="E258" s="26">
        <f>IF(OR(D258&lt;=0,C258&gt;Parametry!$C$6),0,IF(C258&lt;=Parametry!$C$9+1,Parametry!$C$8,Parametry!$C$10))</f>
        <v/>
      </c>
      <c r="F258" s="25">
        <f>IF(D258&lt;=0,0,ROUND(D258*E258/12,2))</f>
        <v/>
      </c>
      <c r="G258" s="25">
        <f>IF(OR(D258&lt;=0,C258&gt;Parametry!$C$6),0,MIN(IF(C258&lt;=Parametry!$C$9+1,Parametry!$C$7,Parametry!$C$14),ROUND(D258+F258,2)))</f>
        <v/>
      </c>
      <c r="H258" s="18" t="n"/>
      <c r="I258" s="19">
        <f>IF(OR(L258&lt;=0,C258&gt;=Parametry!$C$6),0,INDEX(G:G,ROW()+1))</f>
        <v/>
      </c>
      <c r="J258" s="27">
        <f>IF(D258&lt;=0,0,MIN(G258+N(H258),ROUND(D258+F258,2)))</f>
        <v/>
      </c>
      <c r="K258" s="25">
        <f>IF(J258&lt;=0,0,ROUND(MAX(0,J258-F258),2))</f>
        <v/>
      </c>
      <c r="L258" s="27">
        <f>IF(D258&lt;=0,0,ROUND(MAX(0,D258-K258),2))</f>
        <v/>
      </c>
      <c r="M258" s="28">
        <f>IF(L258&lt;=0,0,IFERROR(MATCH(TRUE,INDEX(L258:L327&lt;=0,0),0),70))</f>
        <v/>
      </c>
    </row>
    <row r="259" ht="18" customHeight="1">
      <c r="A259" s="13" t="n">
        <v>257</v>
      </c>
      <c r="B259" s="14">
        <f>IF(C259&lt;=Parametry!$C$6,DATE(Parametry!$C$12+INT((Parametry!$C$13+257-2)/12),MOD(Parametry!$C$13+257-2,12)+1,Parametry!$C$11),"")</f>
        <v/>
      </c>
      <c r="C259" s="15" t="n">
        <v>257</v>
      </c>
      <c r="D259" s="16">
        <f>IF(C259&lt;=Parametry!$C$6,L258,0)</f>
        <v/>
      </c>
      <c r="E259" s="17">
        <f>IF(OR(D259&lt;=0,C259&gt;Parametry!$C$6),0,IF(C259&lt;=Parametry!$C$9+1,Parametry!$C$8,Parametry!$C$10))</f>
        <v/>
      </c>
      <c r="F259" s="16">
        <f>IF(D259&lt;=0,0,ROUND(D259*E259/12,2))</f>
        <v/>
      </c>
      <c r="G259" s="16">
        <f>IF(OR(D259&lt;=0,C259&gt;Parametry!$C$6),0,MIN(IF(C259&lt;=Parametry!$C$9+1,Parametry!$C$7,Parametry!$C$14),ROUND(D259+F259,2)))</f>
        <v/>
      </c>
      <c r="H259" s="18" t="n"/>
      <c r="I259" s="19">
        <f>IF(OR(L259&lt;=0,C259&gt;=Parametry!$C$6),0,INDEX(G:G,ROW()+1))</f>
        <v/>
      </c>
      <c r="J259" s="20">
        <f>IF(D259&lt;=0,0,MIN(G259+N(H259),ROUND(D259+F259,2)))</f>
        <v/>
      </c>
      <c r="K259" s="16">
        <f>IF(J259&lt;=0,0,ROUND(MAX(0,J259-F259),2))</f>
        <v/>
      </c>
      <c r="L259" s="20">
        <f>IF(D259&lt;=0,0,ROUND(MAX(0,D259-K259),2))</f>
        <v/>
      </c>
      <c r="M259" s="21">
        <f>IF(L259&lt;=0,0,IFERROR(MATCH(TRUE,INDEX(L259:L327&lt;=0,0),0),69))</f>
        <v/>
      </c>
    </row>
    <row r="260" ht="18" customHeight="1">
      <c r="A260" s="22" t="n">
        <v>258</v>
      </c>
      <c r="B260" s="23">
        <f>IF(C260&lt;=Parametry!$C$6,DATE(Parametry!$C$12+INT((Parametry!$C$13+258-2)/12),MOD(Parametry!$C$13+258-2,12)+1,Parametry!$C$11),"")</f>
        <v/>
      </c>
      <c r="C260" s="24" t="n">
        <v>258</v>
      </c>
      <c r="D260" s="25">
        <f>IF(C260&lt;=Parametry!$C$6,L259,0)</f>
        <v/>
      </c>
      <c r="E260" s="26">
        <f>IF(OR(D260&lt;=0,C260&gt;Parametry!$C$6),0,IF(C260&lt;=Parametry!$C$9+1,Parametry!$C$8,Parametry!$C$10))</f>
        <v/>
      </c>
      <c r="F260" s="25">
        <f>IF(D260&lt;=0,0,ROUND(D260*E260/12,2))</f>
        <v/>
      </c>
      <c r="G260" s="25">
        <f>IF(OR(D260&lt;=0,C260&gt;Parametry!$C$6),0,MIN(IF(C260&lt;=Parametry!$C$9+1,Parametry!$C$7,Parametry!$C$14),ROUND(D260+F260,2)))</f>
        <v/>
      </c>
      <c r="H260" s="18" t="n"/>
      <c r="I260" s="19">
        <f>IF(OR(L260&lt;=0,C260&gt;=Parametry!$C$6),0,INDEX(G:G,ROW()+1))</f>
        <v/>
      </c>
      <c r="J260" s="27">
        <f>IF(D260&lt;=0,0,MIN(G260+N(H260),ROUND(D260+F260,2)))</f>
        <v/>
      </c>
      <c r="K260" s="25">
        <f>IF(J260&lt;=0,0,ROUND(MAX(0,J260-F260),2))</f>
        <v/>
      </c>
      <c r="L260" s="27">
        <f>IF(D260&lt;=0,0,ROUND(MAX(0,D260-K260),2))</f>
        <v/>
      </c>
      <c r="M260" s="28">
        <f>IF(L260&lt;=0,0,IFERROR(MATCH(TRUE,INDEX(L260:L327&lt;=0,0),0),68))</f>
        <v/>
      </c>
    </row>
    <row r="261" ht="18" customHeight="1">
      <c r="A261" s="13" t="n">
        <v>259</v>
      </c>
      <c r="B261" s="14">
        <f>IF(C261&lt;=Parametry!$C$6,DATE(Parametry!$C$12+INT((Parametry!$C$13+259-2)/12),MOD(Parametry!$C$13+259-2,12)+1,Parametry!$C$11),"")</f>
        <v/>
      </c>
      <c r="C261" s="15" t="n">
        <v>259</v>
      </c>
      <c r="D261" s="16">
        <f>IF(C261&lt;=Parametry!$C$6,L260,0)</f>
        <v/>
      </c>
      <c r="E261" s="17">
        <f>IF(OR(D261&lt;=0,C261&gt;Parametry!$C$6),0,IF(C261&lt;=Parametry!$C$9+1,Parametry!$C$8,Parametry!$C$10))</f>
        <v/>
      </c>
      <c r="F261" s="16">
        <f>IF(D261&lt;=0,0,ROUND(D261*E261/12,2))</f>
        <v/>
      </c>
      <c r="G261" s="16">
        <f>IF(OR(D261&lt;=0,C261&gt;Parametry!$C$6),0,MIN(IF(C261&lt;=Parametry!$C$9+1,Parametry!$C$7,Parametry!$C$14),ROUND(D261+F261,2)))</f>
        <v/>
      </c>
      <c r="H261" s="18" t="n"/>
      <c r="I261" s="19">
        <f>IF(OR(L261&lt;=0,C261&gt;=Parametry!$C$6),0,INDEX(G:G,ROW()+1))</f>
        <v/>
      </c>
      <c r="J261" s="20">
        <f>IF(D261&lt;=0,0,MIN(G261+N(H261),ROUND(D261+F261,2)))</f>
        <v/>
      </c>
      <c r="K261" s="16">
        <f>IF(J261&lt;=0,0,ROUND(MAX(0,J261-F261),2))</f>
        <v/>
      </c>
      <c r="L261" s="20">
        <f>IF(D261&lt;=0,0,ROUND(MAX(0,D261-K261),2))</f>
        <v/>
      </c>
      <c r="M261" s="21">
        <f>IF(L261&lt;=0,0,IFERROR(MATCH(TRUE,INDEX(L261:L327&lt;=0,0),0),67))</f>
        <v/>
      </c>
    </row>
    <row r="262" ht="18" customHeight="1">
      <c r="A262" s="22" t="n">
        <v>260</v>
      </c>
      <c r="B262" s="23">
        <f>IF(C262&lt;=Parametry!$C$6,DATE(Parametry!$C$12+INT((Parametry!$C$13+260-2)/12),MOD(Parametry!$C$13+260-2,12)+1,Parametry!$C$11),"")</f>
        <v/>
      </c>
      <c r="C262" s="24" t="n">
        <v>260</v>
      </c>
      <c r="D262" s="25">
        <f>IF(C262&lt;=Parametry!$C$6,L261,0)</f>
        <v/>
      </c>
      <c r="E262" s="26">
        <f>IF(OR(D262&lt;=0,C262&gt;Parametry!$C$6),0,IF(C262&lt;=Parametry!$C$9+1,Parametry!$C$8,Parametry!$C$10))</f>
        <v/>
      </c>
      <c r="F262" s="25">
        <f>IF(D262&lt;=0,0,ROUND(D262*E262/12,2))</f>
        <v/>
      </c>
      <c r="G262" s="25">
        <f>IF(OR(D262&lt;=0,C262&gt;Parametry!$C$6),0,MIN(IF(C262&lt;=Parametry!$C$9+1,Parametry!$C$7,Parametry!$C$14),ROUND(D262+F262,2)))</f>
        <v/>
      </c>
      <c r="H262" s="18" t="n"/>
      <c r="I262" s="19">
        <f>IF(OR(L262&lt;=0,C262&gt;=Parametry!$C$6),0,INDEX(G:G,ROW()+1))</f>
        <v/>
      </c>
      <c r="J262" s="27">
        <f>IF(D262&lt;=0,0,MIN(G262+N(H262),ROUND(D262+F262,2)))</f>
        <v/>
      </c>
      <c r="K262" s="25">
        <f>IF(J262&lt;=0,0,ROUND(MAX(0,J262-F262),2))</f>
        <v/>
      </c>
      <c r="L262" s="27">
        <f>IF(D262&lt;=0,0,ROUND(MAX(0,D262-K262),2))</f>
        <v/>
      </c>
      <c r="M262" s="28">
        <f>IF(L262&lt;=0,0,IFERROR(MATCH(TRUE,INDEX(L262:L327&lt;=0,0),0),66))</f>
        <v/>
      </c>
    </row>
    <row r="263" ht="18" customHeight="1">
      <c r="A263" s="13" t="n">
        <v>261</v>
      </c>
      <c r="B263" s="14">
        <f>IF(C263&lt;=Parametry!$C$6,DATE(Parametry!$C$12+INT((Parametry!$C$13+261-2)/12),MOD(Parametry!$C$13+261-2,12)+1,Parametry!$C$11),"")</f>
        <v/>
      </c>
      <c r="C263" s="15" t="n">
        <v>261</v>
      </c>
      <c r="D263" s="16">
        <f>IF(C263&lt;=Parametry!$C$6,L262,0)</f>
        <v/>
      </c>
      <c r="E263" s="17">
        <f>IF(OR(D263&lt;=0,C263&gt;Parametry!$C$6),0,IF(C263&lt;=Parametry!$C$9+1,Parametry!$C$8,Parametry!$C$10))</f>
        <v/>
      </c>
      <c r="F263" s="16">
        <f>IF(D263&lt;=0,0,ROUND(D263*E263/12,2))</f>
        <v/>
      </c>
      <c r="G263" s="16">
        <f>IF(OR(D263&lt;=0,C263&gt;Parametry!$C$6),0,MIN(IF(C263&lt;=Parametry!$C$9+1,Parametry!$C$7,Parametry!$C$14),ROUND(D263+F263,2)))</f>
        <v/>
      </c>
      <c r="H263" s="18" t="n"/>
      <c r="I263" s="19">
        <f>IF(OR(L263&lt;=0,C263&gt;=Parametry!$C$6),0,INDEX(G:G,ROW()+1))</f>
        <v/>
      </c>
      <c r="J263" s="20">
        <f>IF(D263&lt;=0,0,MIN(G263+N(H263),ROUND(D263+F263,2)))</f>
        <v/>
      </c>
      <c r="K263" s="16">
        <f>IF(J263&lt;=0,0,ROUND(MAX(0,J263-F263),2))</f>
        <v/>
      </c>
      <c r="L263" s="20">
        <f>IF(D263&lt;=0,0,ROUND(MAX(0,D263-K263),2))</f>
        <v/>
      </c>
      <c r="M263" s="21">
        <f>IF(L263&lt;=0,0,IFERROR(MATCH(TRUE,INDEX(L263:L327&lt;=0,0),0),65))</f>
        <v/>
      </c>
    </row>
    <row r="264" ht="18" customHeight="1">
      <c r="A264" s="22" t="n">
        <v>262</v>
      </c>
      <c r="B264" s="23">
        <f>IF(C264&lt;=Parametry!$C$6,DATE(Parametry!$C$12+INT((Parametry!$C$13+262-2)/12),MOD(Parametry!$C$13+262-2,12)+1,Parametry!$C$11),"")</f>
        <v/>
      </c>
      <c r="C264" s="24" t="n">
        <v>262</v>
      </c>
      <c r="D264" s="25">
        <f>IF(C264&lt;=Parametry!$C$6,L263,0)</f>
        <v/>
      </c>
      <c r="E264" s="26">
        <f>IF(OR(D264&lt;=0,C264&gt;Parametry!$C$6),0,IF(C264&lt;=Parametry!$C$9+1,Parametry!$C$8,Parametry!$C$10))</f>
        <v/>
      </c>
      <c r="F264" s="25">
        <f>IF(D264&lt;=0,0,ROUND(D264*E264/12,2))</f>
        <v/>
      </c>
      <c r="G264" s="25">
        <f>IF(OR(D264&lt;=0,C264&gt;Parametry!$C$6),0,MIN(IF(C264&lt;=Parametry!$C$9+1,Parametry!$C$7,Parametry!$C$14),ROUND(D264+F264,2)))</f>
        <v/>
      </c>
      <c r="H264" s="18" t="n"/>
      <c r="I264" s="19">
        <f>IF(OR(L264&lt;=0,C264&gt;=Parametry!$C$6),0,INDEX(G:G,ROW()+1))</f>
        <v/>
      </c>
      <c r="J264" s="27">
        <f>IF(D264&lt;=0,0,MIN(G264+N(H264),ROUND(D264+F264,2)))</f>
        <v/>
      </c>
      <c r="K264" s="25">
        <f>IF(J264&lt;=0,0,ROUND(MAX(0,J264-F264),2))</f>
        <v/>
      </c>
      <c r="L264" s="27">
        <f>IF(D264&lt;=0,0,ROUND(MAX(0,D264-K264),2))</f>
        <v/>
      </c>
      <c r="M264" s="28">
        <f>IF(L264&lt;=0,0,IFERROR(MATCH(TRUE,INDEX(L264:L327&lt;=0,0),0),64))</f>
        <v/>
      </c>
    </row>
    <row r="265" ht="18" customHeight="1">
      <c r="A265" s="13" t="n">
        <v>263</v>
      </c>
      <c r="B265" s="14">
        <f>IF(C265&lt;=Parametry!$C$6,DATE(Parametry!$C$12+INT((Parametry!$C$13+263-2)/12),MOD(Parametry!$C$13+263-2,12)+1,Parametry!$C$11),"")</f>
        <v/>
      </c>
      <c r="C265" s="15" t="n">
        <v>263</v>
      </c>
      <c r="D265" s="16">
        <f>IF(C265&lt;=Parametry!$C$6,L264,0)</f>
        <v/>
      </c>
      <c r="E265" s="17">
        <f>IF(OR(D265&lt;=0,C265&gt;Parametry!$C$6),0,IF(C265&lt;=Parametry!$C$9+1,Parametry!$C$8,Parametry!$C$10))</f>
        <v/>
      </c>
      <c r="F265" s="16">
        <f>IF(D265&lt;=0,0,ROUND(D265*E265/12,2))</f>
        <v/>
      </c>
      <c r="G265" s="16">
        <f>IF(OR(D265&lt;=0,C265&gt;Parametry!$C$6),0,MIN(IF(C265&lt;=Parametry!$C$9+1,Parametry!$C$7,Parametry!$C$14),ROUND(D265+F265,2)))</f>
        <v/>
      </c>
      <c r="H265" s="18" t="n"/>
      <c r="I265" s="19">
        <f>IF(OR(L265&lt;=0,C265&gt;=Parametry!$C$6),0,INDEX(G:G,ROW()+1))</f>
        <v/>
      </c>
      <c r="J265" s="20">
        <f>IF(D265&lt;=0,0,MIN(G265+N(H265),ROUND(D265+F265,2)))</f>
        <v/>
      </c>
      <c r="K265" s="16">
        <f>IF(J265&lt;=0,0,ROUND(MAX(0,J265-F265),2))</f>
        <v/>
      </c>
      <c r="L265" s="20">
        <f>IF(D265&lt;=0,0,ROUND(MAX(0,D265-K265),2))</f>
        <v/>
      </c>
      <c r="M265" s="21">
        <f>IF(L265&lt;=0,0,IFERROR(MATCH(TRUE,INDEX(L265:L327&lt;=0,0),0),63))</f>
        <v/>
      </c>
    </row>
    <row r="266" ht="18" customHeight="1">
      <c r="A266" s="22" t="n">
        <v>264</v>
      </c>
      <c r="B266" s="23">
        <f>IF(C266&lt;=Parametry!$C$6,DATE(Parametry!$C$12+INT((Parametry!$C$13+264-2)/12),MOD(Parametry!$C$13+264-2,12)+1,Parametry!$C$11),"")</f>
        <v/>
      </c>
      <c r="C266" s="24" t="n">
        <v>264</v>
      </c>
      <c r="D266" s="25">
        <f>IF(C266&lt;=Parametry!$C$6,L265,0)</f>
        <v/>
      </c>
      <c r="E266" s="26">
        <f>IF(OR(D266&lt;=0,C266&gt;Parametry!$C$6),0,IF(C266&lt;=Parametry!$C$9+1,Parametry!$C$8,Parametry!$C$10))</f>
        <v/>
      </c>
      <c r="F266" s="25">
        <f>IF(D266&lt;=0,0,ROUND(D266*E266/12,2))</f>
        <v/>
      </c>
      <c r="G266" s="25">
        <f>IF(OR(D266&lt;=0,C266&gt;Parametry!$C$6),0,MIN(IF(C266&lt;=Parametry!$C$9+1,Parametry!$C$7,Parametry!$C$14),ROUND(D266+F266,2)))</f>
        <v/>
      </c>
      <c r="H266" s="18" t="n"/>
      <c r="I266" s="19">
        <f>IF(OR(L266&lt;=0,C266&gt;=Parametry!$C$6),0,INDEX(G:G,ROW()+1))</f>
        <v/>
      </c>
      <c r="J266" s="27">
        <f>IF(D266&lt;=0,0,MIN(G266+N(H266),ROUND(D266+F266,2)))</f>
        <v/>
      </c>
      <c r="K266" s="25">
        <f>IF(J266&lt;=0,0,ROUND(MAX(0,J266-F266),2))</f>
        <v/>
      </c>
      <c r="L266" s="27">
        <f>IF(D266&lt;=0,0,ROUND(MAX(0,D266-K266),2))</f>
        <v/>
      </c>
      <c r="M266" s="28">
        <f>IF(L266&lt;=0,0,IFERROR(MATCH(TRUE,INDEX(L266:L327&lt;=0,0),0),62))</f>
        <v/>
      </c>
    </row>
    <row r="267" ht="18" customHeight="1">
      <c r="A267" s="13" t="n">
        <v>265</v>
      </c>
      <c r="B267" s="14">
        <f>IF(C267&lt;=Parametry!$C$6,DATE(Parametry!$C$12+INT((Parametry!$C$13+265-2)/12),MOD(Parametry!$C$13+265-2,12)+1,Parametry!$C$11),"")</f>
        <v/>
      </c>
      <c r="C267" s="15" t="n">
        <v>265</v>
      </c>
      <c r="D267" s="16">
        <f>IF(C267&lt;=Parametry!$C$6,L266,0)</f>
        <v/>
      </c>
      <c r="E267" s="17">
        <f>IF(OR(D267&lt;=0,C267&gt;Parametry!$C$6),0,IF(C267&lt;=Parametry!$C$9+1,Parametry!$C$8,Parametry!$C$10))</f>
        <v/>
      </c>
      <c r="F267" s="16">
        <f>IF(D267&lt;=0,0,ROUND(D267*E267/12,2))</f>
        <v/>
      </c>
      <c r="G267" s="16">
        <f>IF(OR(D267&lt;=0,C267&gt;Parametry!$C$6),0,MIN(IF(C267&lt;=Parametry!$C$9+1,Parametry!$C$7,Parametry!$C$14),ROUND(D267+F267,2)))</f>
        <v/>
      </c>
      <c r="H267" s="18" t="n"/>
      <c r="I267" s="19">
        <f>IF(OR(L267&lt;=0,C267&gt;=Parametry!$C$6),0,INDEX(G:G,ROW()+1))</f>
        <v/>
      </c>
      <c r="J267" s="20">
        <f>IF(D267&lt;=0,0,MIN(G267+N(H267),ROUND(D267+F267,2)))</f>
        <v/>
      </c>
      <c r="K267" s="16">
        <f>IF(J267&lt;=0,0,ROUND(MAX(0,J267-F267),2))</f>
        <v/>
      </c>
      <c r="L267" s="20">
        <f>IF(D267&lt;=0,0,ROUND(MAX(0,D267-K267),2))</f>
        <v/>
      </c>
      <c r="M267" s="21">
        <f>IF(L267&lt;=0,0,IFERROR(MATCH(TRUE,INDEX(L267:L327&lt;=0,0),0),61))</f>
        <v/>
      </c>
    </row>
    <row r="268" ht="18" customHeight="1">
      <c r="A268" s="22" t="n">
        <v>266</v>
      </c>
      <c r="B268" s="23">
        <f>IF(C268&lt;=Parametry!$C$6,DATE(Parametry!$C$12+INT((Parametry!$C$13+266-2)/12),MOD(Parametry!$C$13+266-2,12)+1,Parametry!$C$11),"")</f>
        <v/>
      </c>
      <c r="C268" s="24" t="n">
        <v>266</v>
      </c>
      <c r="D268" s="25">
        <f>IF(C268&lt;=Parametry!$C$6,L267,0)</f>
        <v/>
      </c>
      <c r="E268" s="26">
        <f>IF(OR(D268&lt;=0,C268&gt;Parametry!$C$6),0,IF(C268&lt;=Parametry!$C$9+1,Parametry!$C$8,Parametry!$C$10))</f>
        <v/>
      </c>
      <c r="F268" s="25">
        <f>IF(D268&lt;=0,0,ROUND(D268*E268/12,2))</f>
        <v/>
      </c>
      <c r="G268" s="25">
        <f>IF(OR(D268&lt;=0,C268&gt;Parametry!$C$6),0,MIN(IF(C268&lt;=Parametry!$C$9+1,Parametry!$C$7,Parametry!$C$14),ROUND(D268+F268,2)))</f>
        <v/>
      </c>
      <c r="H268" s="18" t="n"/>
      <c r="I268" s="19">
        <f>IF(OR(L268&lt;=0,C268&gt;=Parametry!$C$6),0,INDEX(G:G,ROW()+1))</f>
        <v/>
      </c>
      <c r="J268" s="27">
        <f>IF(D268&lt;=0,0,MIN(G268+N(H268),ROUND(D268+F268,2)))</f>
        <v/>
      </c>
      <c r="K268" s="25">
        <f>IF(J268&lt;=0,0,ROUND(MAX(0,J268-F268),2))</f>
        <v/>
      </c>
      <c r="L268" s="27">
        <f>IF(D268&lt;=0,0,ROUND(MAX(0,D268-K268),2))</f>
        <v/>
      </c>
      <c r="M268" s="28">
        <f>IF(L268&lt;=0,0,IFERROR(MATCH(TRUE,INDEX(L268:L327&lt;=0,0),0),60))</f>
        <v/>
      </c>
    </row>
    <row r="269" ht="18" customHeight="1">
      <c r="A269" s="13" t="n">
        <v>267</v>
      </c>
      <c r="B269" s="14">
        <f>IF(C269&lt;=Parametry!$C$6,DATE(Parametry!$C$12+INT((Parametry!$C$13+267-2)/12),MOD(Parametry!$C$13+267-2,12)+1,Parametry!$C$11),"")</f>
        <v/>
      </c>
      <c r="C269" s="15" t="n">
        <v>267</v>
      </c>
      <c r="D269" s="16">
        <f>IF(C269&lt;=Parametry!$C$6,L268,0)</f>
        <v/>
      </c>
      <c r="E269" s="17">
        <f>IF(OR(D269&lt;=0,C269&gt;Parametry!$C$6),0,IF(C269&lt;=Parametry!$C$9+1,Parametry!$C$8,Parametry!$C$10))</f>
        <v/>
      </c>
      <c r="F269" s="16">
        <f>IF(D269&lt;=0,0,ROUND(D269*E269/12,2))</f>
        <v/>
      </c>
      <c r="G269" s="16">
        <f>IF(OR(D269&lt;=0,C269&gt;Parametry!$C$6),0,MIN(IF(C269&lt;=Parametry!$C$9+1,Parametry!$C$7,Parametry!$C$14),ROUND(D269+F269,2)))</f>
        <v/>
      </c>
      <c r="H269" s="18" t="n"/>
      <c r="I269" s="19">
        <f>IF(OR(L269&lt;=0,C269&gt;=Parametry!$C$6),0,INDEX(G:G,ROW()+1))</f>
        <v/>
      </c>
      <c r="J269" s="20">
        <f>IF(D269&lt;=0,0,MIN(G269+N(H269),ROUND(D269+F269,2)))</f>
        <v/>
      </c>
      <c r="K269" s="16">
        <f>IF(J269&lt;=0,0,ROUND(MAX(0,J269-F269),2))</f>
        <v/>
      </c>
      <c r="L269" s="20">
        <f>IF(D269&lt;=0,0,ROUND(MAX(0,D269-K269),2))</f>
        <v/>
      </c>
      <c r="M269" s="21">
        <f>IF(L269&lt;=0,0,IFERROR(MATCH(TRUE,INDEX(L269:L327&lt;=0,0),0),59))</f>
        <v/>
      </c>
    </row>
    <row r="270" ht="18" customHeight="1">
      <c r="A270" s="22" t="n">
        <v>268</v>
      </c>
      <c r="B270" s="23">
        <f>IF(C270&lt;=Parametry!$C$6,DATE(Parametry!$C$12+INT((Parametry!$C$13+268-2)/12),MOD(Parametry!$C$13+268-2,12)+1,Parametry!$C$11),"")</f>
        <v/>
      </c>
      <c r="C270" s="24" t="n">
        <v>268</v>
      </c>
      <c r="D270" s="25">
        <f>IF(C270&lt;=Parametry!$C$6,L269,0)</f>
        <v/>
      </c>
      <c r="E270" s="26">
        <f>IF(OR(D270&lt;=0,C270&gt;Parametry!$C$6),0,IF(C270&lt;=Parametry!$C$9+1,Parametry!$C$8,Parametry!$C$10))</f>
        <v/>
      </c>
      <c r="F270" s="25">
        <f>IF(D270&lt;=0,0,ROUND(D270*E270/12,2))</f>
        <v/>
      </c>
      <c r="G270" s="25">
        <f>IF(OR(D270&lt;=0,C270&gt;Parametry!$C$6),0,MIN(IF(C270&lt;=Parametry!$C$9+1,Parametry!$C$7,Parametry!$C$14),ROUND(D270+F270,2)))</f>
        <v/>
      </c>
      <c r="H270" s="18" t="n"/>
      <c r="I270" s="19">
        <f>IF(OR(L270&lt;=0,C270&gt;=Parametry!$C$6),0,INDEX(G:G,ROW()+1))</f>
        <v/>
      </c>
      <c r="J270" s="27">
        <f>IF(D270&lt;=0,0,MIN(G270+N(H270),ROUND(D270+F270,2)))</f>
        <v/>
      </c>
      <c r="K270" s="25">
        <f>IF(J270&lt;=0,0,ROUND(MAX(0,J270-F270),2))</f>
        <v/>
      </c>
      <c r="L270" s="27">
        <f>IF(D270&lt;=0,0,ROUND(MAX(0,D270-K270),2))</f>
        <v/>
      </c>
      <c r="M270" s="28">
        <f>IF(L270&lt;=0,0,IFERROR(MATCH(TRUE,INDEX(L270:L327&lt;=0,0),0),58))</f>
        <v/>
      </c>
    </row>
    <row r="271" ht="18" customHeight="1">
      <c r="A271" s="13" t="n">
        <v>269</v>
      </c>
      <c r="B271" s="14">
        <f>IF(C271&lt;=Parametry!$C$6,DATE(Parametry!$C$12+INT((Parametry!$C$13+269-2)/12),MOD(Parametry!$C$13+269-2,12)+1,Parametry!$C$11),"")</f>
        <v/>
      </c>
      <c r="C271" s="15" t="n">
        <v>269</v>
      </c>
      <c r="D271" s="16">
        <f>IF(C271&lt;=Parametry!$C$6,L270,0)</f>
        <v/>
      </c>
      <c r="E271" s="17">
        <f>IF(OR(D271&lt;=0,C271&gt;Parametry!$C$6),0,IF(C271&lt;=Parametry!$C$9+1,Parametry!$C$8,Parametry!$C$10))</f>
        <v/>
      </c>
      <c r="F271" s="16">
        <f>IF(D271&lt;=0,0,ROUND(D271*E271/12,2))</f>
        <v/>
      </c>
      <c r="G271" s="16">
        <f>IF(OR(D271&lt;=0,C271&gt;Parametry!$C$6),0,MIN(IF(C271&lt;=Parametry!$C$9+1,Parametry!$C$7,Parametry!$C$14),ROUND(D271+F271,2)))</f>
        <v/>
      </c>
      <c r="H271" s="18" t="n"/>
      <c r="I271" s="19">
        <f>IF(OR(L271&lt;=0,C271&gt;=Parametry!$C$6),0,INDEX(G:G,ROW()+1))</f>
        <v/>
      </c>
      <c r="J271" s="20">
        <f>IF(D271&lt;=0,0,MIN(G271+N(H271),ROUND(D271+F271,2)))</f>
        <v/>
      </c>
      <c r="K271" s="16">
        <f>IF(J271&lt;=0,0,ROUND(MAX(0,J271-F271),2))</f>
        <v/>
      </c>
      <c r="L271" s="20">
        <f>IF(D271&lt;=0,0,ROUND(MAX(0,D271-K271),2))</f>
        <v/>
      </c>
      <c r="M271" s="21">
        <f>IF(L271&lt;=0,0,IFERROR(MATCH(TRUE,INDEX(L271:L327&lt;=0,0),0),57))</f>
        <v/>
      </c>
    </row>
    <row r="272" ht="18" customHeight="1">
      <c r="A272" s="22" t="n">
        <v>270</v>
      </c>
      <c r="B272" s="23">
        <f>IF(C272&lt;=Parametry!$C$6,DATE(Parametry!$C$12+INT((Parametry!$C$13+270-2)/12),MOD(Parametry!$C$13+270-2,12)+1,Parametry!$C$11),"")</f>
        <v/>
      </c>
      <c r="C272" s="24" t="n">
        <v>270</v>
      </c>
      <c r="D272" s="25">
        <f>IF(C272&lt;=Parametry!$C$6,L271,0)</f>
        <v/>
      </c>
      <c r="E272" s="26">
        <f>IF(OR(D272&lt;=0,C272&gt;Parametry!$C$6),0,IF(C272&lt;=Parametry!$C$9+1,Parametry!$C$8,Parametry!$C$10))</f>
        <v/>
      </c>
      <c r="F272" s="25">
        <f>IF(D272&lt;=0,0,ROUND(D272*E272/12,2))</f>
        <v/>
      </c>
      <c r="G272" s="25">
        <f>IF(OR(D272&lt;=0,C272&gt;Parametry!$C$6),0,MIN(IF(C272&lt;=Parametry!$C$9+1,Parametry!$C$7,Parametry!$C$14),ROUND(D272+F272,2)))</f>
        <v/>
      </c>
      <c r="H272" s="18" t="n"/>
      <c r="I272" s="19">
        <f>IF(OR(L272&lt;=0,C272&gt;=Parametry!$C$6),0,INDEX(G:G,ROW()+1))</f>
        <v/>
      </c>
      <c r="J272" s="27">
        <f>IF(D272&lt;=0,0,MIN(G272+N(H272),ROUND(D272+F272,2)))</f>
        <v/>
      </c>
      <c r="K272" s="25">
        <f>IF(J272&lt;=0,0,ROUND(MAX(0,J272-F272),2))</f>
        <v/>
      </c>
      <c r="L272" s="27">
        <f>IF(D272&lt;=0,0,ROUND(MAX(0,D272-K272),2))</f>
        <v/>
      </c>
      <c r="M272" s="28">
        <f>IF(L272&lt;=0,0,IFERROR(MATCH(TRUE,INDEX(L272:L327&lt;=0,0),0),56))</f>
        <v/>
      </c>
    </row>
    <row r="273" ht="18" customHeight="1">
      <c r="A273" s="13" t="n">
        <v>271</v>
      </c>
      <c r="B273" s="14">
        <f>IF(C273&lt;=Parametry!$C$6,DATE(Parametry!$C$12+INT((Parametry!$C$13+271-2)/12),MOD(Parametry!$C$13+271-2,12)+1,Parametry!$C$11),"")</f>
        <v/>
      </c>
      <c r="C273" s="15" t="n">
        <v>271</v>
      </c>
      <c r="D273" s="16">
        <f>IF(C273&lt;=Parametry!$C$6,L272,0)</f>
        <v/>
      </c>
      <c r="E273" s="17">
        <f>IF(OR(D273&lt;=0,C273&gt;Parametry!$C$6),0,IF(C273&lt;=Parametry!$C$9+1,Parametry!$C$8,Parametry!$C$10))</f>
        <v/>
      </c>
      <c r="F273" s="16">
        <f>IF(D273&lt;=0,0,ROUND(D273*E273/12,2))</f>
        <v/>
      </c>
      <c r="G273" s="16">
        <f>IF(OR(D273&lt;=0,C273&gt;Parametry!$C$6),0,MIN(IF(C273&lt;=Parametry!$C$9+1,Parametry!$C$7,Parametry!$C$14),ROUND(D273+F273,2)))</f>
        <v/>
      </c>
      <c r="H273" s="18" t="n"/>
      <c r="I273" s="19">
        <f>IF(OR(L273&lt;=0,C273&gt;=Parametry!$C$6),0,INDEX(G:G,ROW()+1))</f>
        <v/>
      </c>
      <c r="J273" s="20">
        <f>IF(D273&lt;=0,0,MIN(G273+N(H273),ROUND(D273+F273,2)))</f>
        <v/>
      </c>
      <c r="K273" s="16">
        <f>IF(J273&lt;=0,0,ROUND(MAX(0,J273-F273),2))</f>
        <v/>
      </c>
      <c r="L273" s="20">
        <f>IF(D273&lt;=0,0,ROUND(MAX(0,D273-K273),2))</f>
        <v/>
      </c>
      <c r="M273" s="21">
        <f>IF(L273&lt;=0,0,IFERROR(MATCH(TRUE,INDEX(L273:L327&lt;=0,0),0),55))</f>
        <v/>
      </c>
    </row>
    <row r="274" ht="18" customHeight="1">
      <c r="A274" s="22" t="n">
        <v>272</v>
      </c>
      <c r="B274" s="23">
        <f>IF(C274&lt;=Parametry!$C$6,DATE(Parametry!$C$12+INT((Parametry!$C$13+272-2)/12),MOD(Parametry!$C$13+272-2,12)+1,Parametry!$C$11),"")</f>
        <v/>
      </c>
      <c r="C274" s="24" t="n">
        <v>272</v>
      </c>
      <c r="D274" s="25">
        <f>IF(C274&lt;=Parametry!$C$6,L273,0)</f>
        <v/>
      </c>
      <c r="E274" s="26">
        <f>IF(OR(D274&lt;=0,C274&gt;Parametry!$C$6),0,IF(C274&lt;=Parametry!$C$9+1,Parametry!$C$8,Parametry!$C$10))</f>
        <v/>
      </c>
      <c r="F274" s="25">
        <f>IF(D274&lt;=0,0,ROUND(D274*E274/12,2))</f>
        <v/>
      </c>
      <c r="G274" s="25">
        <f>IF(OR(D274&lt;=0,C274&gt;Parametry!$C$6),0,MIN(IF(C274&lt;=Parametry!$C$9+1,Parametry!$C$7,Parametry!$C$14),ROUND(D274+F274,2)))</f>
        <v/>
      </c>
      <c r="H274" s="18" t="n"/>
      <c r="I274" s="19">
        <f>IF(OR(L274&lt;=0,C274&gt;=Parametry!$C$6),0,INDEX(G:G,ROW()+1))</f>
        <v/>
      </c>
      <c r="J274" s="27">
        <f>IF(D274&lt;=0,0,MIN(G274+N(H274),ROUND(D274+F274,2)))</f>
        <v/>
      </c>
      <c r="K274" s="25">
        <f>IF(J274&lt;=0,0,ROUND(MAX(0,J274-F274),2))</f>
        <v/>
      </c>
      <c r="L274" s="27">
        <f>IF(D274&lt;=0,0,ROUND(MAX(0,D274-K274),2))</f>
        <v/>
      </c>
      <c r="M274" s="28">
        <f>IF(L274&lt;=0,0,IFERROR(MATCH(TRUE,INDEX(L274:L327&lt;=0,0),0),54))</f>
        <v/>
      </c>
    </row>
    <row r="275" ht="18" customHeight="1">
      <c r="A275" s="13" t="n">
        <v>273</v>
      </c>
      <c r="B275" s="14">
        <f>IF(C275&lt;=Parametry!$C$6,DATE(Parametry!$C$12+INT((Parametry!$C$13+273-2)/12),MOD(Parametry!$C$13+273-2,12)+1,Parametry!$C$11),"")</f>
        <v/>
      </c>
      <c r="C275" s="15" t="n">
        <v>273</v>
      </c>
      <c r="D275" s="16">
        <f>IF(C275&lt;=Parametry!$C$6,L274,0)</f>
        <v/>
      </c>
      <c r="E275" s="17">
        <f>IF(OR(D275&lt;=0,C275&gt;Parametry!$C$6),0,IF(C275&lt;=Parametry!$C$9+1,Parametry!$C$8,Parametry!$C$10))</f>
        <v/>
      </c>
      <c r="F275" s="16">
        <f>IF(D275&lt;=0,0,ROUND(D275*E275/12,2))</f>
        <v/>
      </c>
      <c r="G275" s="16">
        <f>IF(OR(D275&lt;=0,C275&gt;Parametry!$C$6),0,MIN(IF(C275&lt;=Parametry!$C$9+1,Parametry!$C$7,Parametry!$C$14),ROUND(D275+F275,2)))</f>
        <v/>
      </c>
      <c r="H275" s="18" t="n"/>
      <c r="I275" s="19">
        <f>IF(OR(L275&lt;=0,C275&gt;=Parametry!$C$6),0,INDEX(G:G,ROW()+1))</f>
        <v/>
      </c>
      <c r="J275" s="20">
        <f>IF(D275&lt;=0,0,MIN(G275+N(H275),ROUND(D275+F275,2)))</f>
        <v/>
      </c>
      <c r="K275" s="16">
        <f>IF(J275&lt;=0,0,ROUND(MAX(0,J275-F275),2))</f>
        <v/>
      </c>
      <c r="L275" s="20">
        <f>IF(D275&lt;=0,0,ROUND(MAX(0,D275-K275),2))</f>
        <v/>
      </c>
      <c r="M275" s="21">
        <f>IF(L275&lt;=0,0,IFERROR(MATCH(TRUE,INDEX(L275:L327&lt;=0,0),0),53))</f>
        <v/>
      </c>
    </row>
    <row r="276" ht="18" customHeight="1">
      <c r="A276" s="22" t="n">
        <v>274</v>
      </c>
      <c r="B276" s="23">
        <f>IF(C276&lt;=Parametry!$C$6,DATE(Parametry!$C$12+INT((Parametry!$C$13+274-2)/12),MOD(Parametry!$C$13+274-2,12)+1,Parametry!$C$11),"")</f>
        <v/>
      </c>
      <c r="C276" s="24" t="n">
        <v>274</v>
      </c>
      <c r="D276" s="25">
        <f>IF(C276&lt;=Parametry!$C$6,L275,0)</f>
        <v/>
      </c>
      <c r="E276" s="26">
        <f>IF(OR(D276&lt;=0,C276&gt;Parametry!$C$6),0,IF(C276&lt;=Parametry!$C$9+1,Parametry!$C$8,Parametry!$C$10))</f>
        <v/>
      </c>
      <c r="F276" s="25">
        <f>IF(D276&lt;=0,0,ROUND(D276*E276/12,2))</f>
        <v/>
      </c>
      <c r="G276" s="25">
        <f>IF(OR(D276&lt;=0,C276&gt;Parametry!$C$6),0,MIN(IF(C276&lt;=Parametry!$C$9+1,Parametry!$C$7,Parametry!$C$14),ROUND(D276+F276,2)))</f>
        <v/>
      </c>
      <c r="H276" s="18" t="n"/>
      <c r="I276" s="19">
        <f>IF(OR(L276&lt;=0,C276&gt;=Parametry!$C$6),0,INDEX(G:G,ROW()+1))</f>
        <v/>
      </c>
      <c r="J276" s="27">
        <f>IF(D276&lt;=0,0,MIN(G276+N(H276),ROUND(D276+F276,2)))</f>
        <v/>
      </c>
      <c r="K276" s="25">
        <f>IF(J276&lt;=0,0,ROUND(MAX(0,J276-F276),2))</f>
        <v/>
      </c>
      <c r="L276" s="27">
        <f>IF(D276&lt;=0,0,ROUND(MAX(0,D276-K276),2))</f>
        <v/>
      </c>
      <c r="M276" s="28">
        <f>IF(L276&lt;=0,0,IFERROR(MATCH(TRUE,INDEX(L276:L327&lt;=0,0),0),52))</f>
        <v/>
      </c>
    </row>
    <row r="277" ht="18" customHeight="1">
      <c r="A277" s="13" t="n">
        <v>275</v>
      </c>
      <c r="B277" s="14">
        <f>IF(C277&lt;=Parametry!$C$6,DATE(Parametry!$C$12+INT((Parametry!$C$13+275-2)/12),MOD(Parametry!$C$13+275-2,12)+1,Parametry!$C$11),"")</f>
        <v/>
      </c>
      <c r="C277" s="15" t="n">
        <v>275</v>
      </c>
      <c r="D277" s="16">
        <f>IF(C277&lt;=Parametry!$C$6,L276,0)</f>
        <v/>
      </c>
      <c r="E277" s="17">
        <f>IF(OR(D277&lt;=0,C277&gt;Parametry!$C$6),0,IF(C277&lt;=Parametry!$C$9+1,Parametry!$C$8,Parametry!$C$10))</f>
        <v/>
      </c>
      <c r="F277" s="16">
        <f>IF(D277&lt;=0,0,ROUND(D277*E277/12,2))</f>
        <v/>
      </c>
      <c r="G277" s="16">
        <f>IF(OR(D277&lt;=0,C277&gt;Parametry!$C$6),0,MIN(IF(C277&lt;=Parametry!$C$9+1,Parametry!$C$7,Parametry!$C$14),ROUND(D277+F277,2)))</f>
        <v/>
      </c>
      <c r="H277" s="18" t="n"/>
      <c r="I277" s="19">
        <f>IF(OR(L277&lt;=0,C277&gt;=Parametry!$C$6),0,INDEX(G:G,ROW()+1))</f>
        <v/>
      </c>
      <c r="J277" s="20">
        <f>IF(D277&lt;=0,0,MIN(G277+N(H277),ROUND(D277+F277,2)))</f>
        <v/>
      </c>
      <c r="K277" s="16">
        <f>IF(J277&lt;=0,0,ROUND(MAX(0,J277-F277),2))</f>
        <v/>
      </c>
      <c r="L277" s="20">
        <f>IF(D277&lt;=0,0,ROUND(MAX(0,D277-K277),2))</f>
        <v/>
      </c>
      <c r="M277" s="21">
        <f>IF(L277&lt;=0,0,IFERROR(MATCH(TRUE,INDEX(L277:L327&lt;=0,0),0),51))</f>
        <v/>
      </c>
    </row>
    <row r="278" ht="18" customHeight="1">
      <c r="A278" s="22" t="n">
        <v>276</v>
      </c>
      <c r="B278" s="23">
        <f>IF(C278&lt;=Parametry!$C$6,DATE(Parametry!$C$12+INT((Parametry!$C$13+276-2)/12),MOD(Parametry!$C$13+276-2,12)+1,Parametry!$C$11),"")</f>
        <v/>
      </c>
      <c r="C278" s="24" t="n">
        <v>276</v>
      </c>
      <c r="D278" s="25">
        <f>IF(C278&lt;=Parametry!$C$6,L277,0)</f>
        <v/>
      </c>
      <c r="E278" s="26">
        <f>IF(OR(D278&lt;=0,C278&gt;Parametry!$C$6),0,IF(C278&lt;=Parametry!$C$9+1,Parametry!$C$8,Parametry!$C$10))</f>
        <v/>
      </c>
      <c r="F278" s="25">
        <f>IF(D278&lt;=0,0,ROUND(D278*E278/12,2))</f>
        <v/>
      </c>
      <c r="G278" s="25">
        <f>IF(OR(D278&lt;=0,C278&gt;Parametry!$C$6),0,MIN(IF(C278&lt;=Parametry!$C$9+1,Parametry!$C$7,Parametry!$C$14),ROUND(D278+F278,2)))</f>
        <v/>
      </c>
      <c r="H278" s="18" t="n"/>
      <c r="I278" s="19">
        <f>IF(OR(L278&lt;=0,C278&gt;=Parametry!$C$6),0,INDEX(G:G,ROW()+1))</f>
        <v/>
      </c>
      <c r="J278" s="27">
        <f>IF(D278&lt;=0,0,MIN(G278+N(H278),ROUND(D278+F278,2)))</f>
        <v/>
      </c>
      <c r="K278" s="25">
        <f>IF(J278&lt;=0,0,ROUND(MAX(0,J278-F278),2))</f>
        <v/>
      </c>
      <c r="L278" s="27">
        <f>IF(D278&lt;=0,0,ROUND(MAX(0,D278-K278),2))</f>
        <v/>
      </c>
      <c r="M278" s="28">
        <f>IF(L278&lt;=0,0,IFERROR(MATCH(TRUE,INDEX(L278:L327&lt;=0,0),0),50))</f>
        <v/>
      </c>
    </row>
    <row r="279" ht="18" customHeight="1">
      <c r="A279" s="13" t="n">
        <v>277</v>
      </c>
      <c r="B279" s="14">
        <f>IF(C279&lt;=Parametry!$C$6,DATE(Parametry!$C$12+INT((Parametry!$C$13+277-2)/12),MOD(Parametry!$C$13+277-2,12)+1,Parametry!$C$11),"")</f>
        <v/>
      </c>
      <c r="C279" s="15" t="n">
        <v>277</v>
      </c>
      <c r="D279" s="16">
        <f>IF(C279&lt;=Parametry!$C$6,L278,0)</f>
        <v/>
      </c>
      <c r="E279" s="17">
        <f>IF(OR(D279&lt;=0,C279&gt;Parametry!$C$6),0,IF(C279&lt;=Parametry!$C$9+1,Parametry!$C$8,Parametry!$C$10))</f>
        <v/>
      </c>
      <c r="F279" s="16">
        <f>IF(D279&lt;=0,0,ROUND(D279*E279/12,2))</f>
        <v/>
      </c>
      <c r="G279" s="16">
        <f>IF(OR(D279&lt;=0,C279&gt;Parametry!$C$6),0,MIN(IF(C279&lt;=Parametry!$C$9+1,Parametry!$C$7,Parametry!$C$14),ROUND(D279+F279,2)))</f>
        <v/>
      </c>
      <c r="H279" s="18" t="n"/>
      <c r="I279" s="19">
        <f>IF(OR(L279&lt;=0,C279&gt;=Parametry!$C$6),0,INDEX(G:G,ROW()+1))</f>
        <v/>
      </c>
      <c r="J279" s="20">
        <f>IF(D279&lt;=0,0,MIN(G279+N(H279),ROUND(D279+F279,2)))</f>
        <v/>
      </c>
      <c r="K279" s="16">
        <f>IF(J279&lt;=0,0,ROUND(MAX(0,J279-F279),2))</f>
        <v/>
      </c>
      <c r="L279" s="20">
        <f>IF(D279&lt;=0,0,ROUND(MAX(0,D279-K279),2))</f>
        <v/>
      </c>
      <c r="M279" s="21">
        <f>IF(L279&lt;=0,0,IFERROR(MATCH(TRUE,INDEX(L279:L327&lt;=0,0),0),49))</f>
        <v/>
      </c>
    </row>
    <row r="280" ht="18" customHeight="1">
      <c r="A280" s="22" t="n">
        <v>278</v>
      </c>
      <c r="B280" s="23">
        <f>IF(C280&lt;=Parametry!$C$6,DATE(Parametry!$C$12+INT((Parametry!$C$13+278-2)/12),MOD(Parametry!$C$13+278-2,12)+1,Parametry!$C$11),"")</f>
        <v/>
      </c>
      <c r="C280" s="24" t="n">
        <v>278</v>
      </c>
      <c r="D280" s="25">
        <f>IF(C280&lt;=Parametry!$C$6,L279,0)</f>
        <v/>
      </c>
      <c r="E280" s="26">
        <f>IF(OR(D280&lt;=0,C280&gt;Parametry!$C$6),0,IF(C280&lt;=Parametry!$C$9+1,Parametry!$C$8,Parametry!$C$10))</f>
        <v/>
      </c>
      <c r="F280" s="25">
        <f>IF(D280&lt;=0,0,ROUND(D280*E280/12,2))</f>
        <v/>
      </c>
      <c r="G280" s="25">
        <f>IF(OR(D280&lt;=0,C280&gt;Parametry!$C$6),0,MIN(IF(C280&lt;=Parametry!$C$9+1,Parametry!$C$7,Parametry!$C$14),ROUND(D280+F280,2)))</f>
        <v/>
      </c>
      <c r="H280" s="18" t="n"/>
      <c r="I280" s="19">
        <f>IF(OR(L280&lt;=0,C280&gt;=Parametry!$C$6),0,INDEX(G:G,ROW()+1))</f>
        <v/>
      </c>
      <c r="J280" s="27">
        <f>IF(D280&lt;=0,0,MIN(G280+N(H280),ROUND(D280+F280,2)))</f>
        <v/>
      </c>
      <c r="K280" s="25">
        <f>IF(J280&lt;=0,0,ROUND(MAX(0,J280-F280),2))</f>
        <v/>
      </c>
      <c r="L280" s="27">
        <f>IF(D280&lt;=0,0,ROUND(MAX(0,D280-K280),2))</f>
        <v/>
      </c>
      <c r="M280" s="28">
        <f>IF(L280&lt;=0,0,IFERROR(MATCH(TRUE,INDEX(L280:L327&lt;=0,0),0),48))</f>
        <v/>
      </c>
    </row>
    <row r="281" ht="18" customHeight="1">
      <c r="A281" s="13" t="n">
        <v>279</v>
      </c>
      <c r="B281" s="14">
        <f>IF(C281&lt;=Parametry!$C$6,DATE(Parametry!$C$12+INT((Parametry!$C$13+279-2)/12),MOD(Parametry!$C$13+279-2,12)+1,Parametry!$C$11),"")</f>
        <v/>
      </c>
      <c r="C281" s="15" t="n">
        <v>279</v>
      </c>
      <c r="D281" s="16">
        <f>IF(C281&lt;=Parametry!$C$6,L280,0)</f>
        <v/>
      </c>
      <c r="E281" s="17">
        <f>IF(OR(D281&lt;=0,C281&gt;Parametry!$C$6),0,IF(C281&lt;=Parametry!$C$9+1,Parametry!$C$8,Parametry!$C$10))</f>
        <v/>
      </c>
      <c r="F281" s="16">
        <f>IF(D281&lt;=0,0,ROUND(D281*E281/12,2))</f>
        <v/>
      </c>
      <c r="G281" s="16">
        <f>IF(OR(D281&lt;=0,C281&gt;Parametry!$C$6),0,MIN(IF(C281&lt;=Parametry!$C$9+1,Parametry!$C$7,Parametry!$C$14),ROUND(D281+F281,2)))</f>
        <v/>
      </c>
      <c r="H281" s="18" t="n"/>
      <c r="I281" s="19">
        <f>IF(OR(L281&lt;=0,C281&gt;=Parametry!$C$6),0,INDEX(G:G,ROW()+1))</f>
        <v/>
      </c>
      <c r="J281" s="20">
        <f>IF(D281&lt;=0,0,MIN(G281+N(H281),ROUND(D281+F281,2)))</f>
        <v/>
      </c>
      <c r="K281" s="16">
        <f>IF(J281&lt;=0,0,ROUND(MAX(0,J281-F281),2))</f>
        <v/>
      </c>
      <c r="L281" s="20">
        <f>IF(D281&lt;=0,0,ROUND(MAX(0,D281-K281),2))</f>
        <v/>
      </c>
      <c r="M281" s="21">
        <f>IF(L281&lt;=0,0,IFERROR(MATCH(TRUE,INDEX(L281:L327&lt;=0,0),0),47))</f>
        <v/>
      </c>
    </row>
    <row r="282" ht="18" customHeight="1">
      <c r="A282" s="22" t="n">
        <v>280</v>
      </c>
      <c r="B282" s="23">
        <f>IF(C282&lt;=Parametry!$C$6,DATE(Parametry!$C$12+INT((Parametry!$C$13+280-2)/12),MOD(Parametry!$C$13+280-2,12)+1,Parametry!$C$11),"")</f>
        <v/>
      </c>
      <c r="C282" s="24" t="n">
        <v>280</v>
      </c>
      <c r="D282" s="25">
        <f>IF(C282&lt;=Parametry!$C$6,L281,0)</f>
        <v/>
      </c>
      <c r="E282" s="26">
        <f>IF(OR(D282&lt;=0,C282&gt;Parametry!$C$6),0,IF(C282&lt;=Parametry!$C$9+1,Parametry!$C$8,Parametry!$C$10))</f>
        <v/>
      </c>
      <c r="F282" s="25">
        <f>IF(D282&lt;=0,0,ROUND(D282*E282/12,2))</f>
        <v/>
      </c>
      <c r="G282" s="25">
        <f>IF(OR(D282&lt;=0,C282&gt;Parametry!$C$6),0,MIN(IF(C282&lt;=Parametry!$C$9+1,Parametry!$C$7,Parametry!$C$14),ROUND(D282+F282,2)))</f>
        <v/>
      </c>
      <c r="H282" s="18" t="n"/>
      <c r="I282" s="19">
        <f>IF(OR(L282&lt;=0,C282&gt;=Parametry!$C$6),0,INDEX(G:G,ROW()+1))</f>
        <v/>
      </c>
      <c r="J282" s="27">
        <f>IF(D282&lt;=0,0,MIN(G282+N(H282),ROUND(D282+F282,2)))</f>
        <v/>
      </c>
      <c r="K282" s="25">
        <f>IF(J282&lt;=0,0,ROUND(MAX(0,J282-F282),2))</f>
        <v/>
      </c>
      <c r="L282" s="27">
        <f>IF(D282&lt;=0,0,ROUND(MAX(0,D282-K282),2))</f>
        <v/>
      </c>
      <c r="M282" s="28">
        <f>IF(L282&lt;=0,0,IFERROR(MATCH(TRUE,INDEX(L282:L327&lt;=0,0),0),46))</f>
        <v/>
      </c>
    </row>
    <row r="283" ht="18" customHeight="1">
      <c r="A283" s="13" t="n">
        <v>281</v>
      </c>
      <c r="B283" s="14">
        <f>IF(C283&lt;=Parametry!$C$6,DATE(Parametry!$C$12+INT((Parametry!$C$13+281-2)/12),MOD(Parametry!$C$13+281-2,12)+1,Parametry!$C$11),"")</f>
        <v/>
      </c>
      <c r="C283" s="15" t="n">
        <v>281</v>
      </c>
      <c r="D283" s="16">
        <f>IF(C283&lt;=Parametry!$C$6,L282,0)</f>
        <v/>
      </c>
      <c r="E283" s="17">
        <f>IF(OR(D283&lt;=0,C283&gt;Parametry!$C$6),0,IF(C283&lt;=Parametry!$C$9+1,Parametry!$C$8,Parametry!$C$10))</f>
        <v/>
      </c>
      <c r="F283" s="16">
        <f>IF(D283&lt;=0,0,ROUND(D283*E283/12,2))</f>
        <v/>
      </c>
      <c r="G283" s="16">
        <f>IF(OR(D283&lt;=0,C283&gt;Parametry!$C$6),0,MIN(IF(C283&lt;=Parametry!$C$9+1,Parametry!$C$7,Parametry!$C$14),ROUND(D283+F283,2)))</f>
        <v/>
      </c>
      <c r="H283" s="18" t="n"/>
      <c r="I283" s="19">
        <f>IF(OR(L283&lt;=0,C283&gt;=Parametry!$C$6),0,INDEX(G:G,ROW()+1))</f>
        <v/>
      </c>
      <c r="J283" s="20">
        <f>IF(D283&lt;=0,0,MIN(G283+N(H283),ROUND(D283+F283,2)))</f>
        <v/>
      </c>
      <c r="K283" s="16">
        <f>IF(J283&lt;=0,0,ROUND(MAX(0,J283-F283),2))</f>
        <v/>
      </c>
      <c r="L283" s="20">
        <f>IF(D283&lt;=0,0,ROUND(MAX(0,D283-K283),2))</f>
        <v/>
      </c>
      <c r="M283" s="21">
        <f>IF(L283&lt;=0,0,IFERROR(MATCH(TRUE,INDEX(L283:L327&lt;=0,0),0),45))</f>
        <v/>
      </c>
    </row>
    <row r="284" ht="18" customHeight="1">
      <c r="A284" s="22" t="n">
        <v>282</v>
      </c>
      <c r="B284" s="23">
        <f>IF(C284&lt;=Parametry!$C$6,DATE(Parametry!$C$12+INT((Parametry!$C$13+282-2)/12),MOD(Parametry!$C$13+282-2,12)+1,Parametry!$C$11),"")</f>
        <v/>
      </c>
      <c r="C284" s="24" t="n">
        <v>282</v>
      </c>
      <c r="D284" s="25">
        <f>IF(C284&lt;=Parametry!$C$6,L283,0)</f>
        <v/>
      </c>
      <c r="E284" s="26">
        <f>IF(OR(D284&lt;=0,C284&gt;Parametry!$C$6),0,IF(C284&lt;=Parametry!$C$9+1,Parametry!$C$8,Parametry!$C$10))</f>
        <v/>
      </c>
      <c r="F284" s="25">
        <f>IF(D284&lt;=0,0,ROUND(D284*E284/12,2))</f>
        <v/>
      </c>
      <c r="G284" s="25">
        <f>IF(OR(D284&lt;=0,C284&gt;Parametry!$C$6),0,MIN(IF(C284&lt;=Parametry!$C$9+1,Parametry!$C$7,Parametry!$C$14),ROUND(D284+F284,2)))</f>
        <v/>
      </c>
      <c r="H284" s="18" t="n"/>
      <c r="I284" s="19">
        <f>IF(OR(L284&lt;=0,C284&gt;=Parametry!$C$6),0,INDEX(G:G,ROW()+1))</f>
        <v/>
      </c>
      <c r="J284" s="27">
        <f>IF(D284&lt;=0,0,MIN(G284+N(H284),ROUND(D284+F284,2)))</f>
        <v/>
      </c>
      <c r="K284" s="25">
        <f>IF(J284&lt;=0,0,ROUND(MAX(0,J284-F284),2))</f>
        <v/>
      </c>
      <c r="L284" s="27">
        <f>IF(D284&lt;=0,0,ROUND(MAX(0,D284-K284),2))</f>
        <v/>
      </c>
      <c r="M284" s="28">
        <f>IF(L284&lt;=0,0,IFERROR(MATCH(TRUE,INDEX(L284:L327&lt;=0,0),0),44))</f>
        <v/>
      </c>
    </row>
    <row r="285" ht="18" customHeight="1">
      <c r="A285" s="13" t="n">
        <v>283</v>
      </c>
      <c r="B285" s="14">
        <f>IF(C285&lt;=Parametry!$C$6,DATE(Parametry!$C$12+INT((Parametry!$C$13+283-2)/12),MOD(Parametry!$C$13+283-2,12)+1,Parametry!$C$11),"")</f>
        <v/>
      </c>
      <c r="C285" s="15" t="n">
        <v>283</v>
      </c>
      <c r="D285" s="16">
        <f>IF(C285&lt;=Parametry!$C$6,L284,0)</f>
        <v/>
      </c>
      <c r="E285" s="17">
        <f>IF(OR(D285&lt;=0,C285&gt;Parametry!$C$6),0,IF(C285&lt;=Parametry!$C$9+1,Parametry!$C$8,Parametry!$C$10))</f>
        <v/>
      </c>
      <c r="F285" s="16">
        <f>IF(D285&lt;=0,0,ROUND(D285*E285/12,2))</f>
        <v/>
      </c>
      <c r="G285" s="16">
        <f>IF(OR(D285&lt;=0,C285&gt;Parametry!$C$6),0,MIN(IF(C285&lt;=Parametry!$C$9+1,Parametry!$C$7,Parametry!$C$14),ROUND(D285+F285,2)))</f>
        <v/>
      </c>
      <c r="H285" s="18" t="n"/>
      <c r="I285" s="19">
        <f>IF(OR(L285&lt;=0,C285&gt;=Parametry!$C$6),0,INDEX(G:G,ROW()+1))</f>
        <v/>
      </c>
      <c r="J285" s="20">
        <f>IF(D285&lt;=0,0,MIN(G285+N(H285),ROUND(D285+F285,2)))</f>
        <v/>
      </c>
      <c r="K285" s="16">
        <f>IF(J285&lt;=0,0,ROUND(MAX(0,J285-F285),2))</f>
        <v/>
      </c>
      <c r="L285" s="20">
        <f>IF(D285&lt;=0,0,ROUND(MAX(0,D285-K285),2))</f>
        <v/>
      </c>
      <c r="M285" s="21">
        <f>IF(L285&lt;=0,0,IFERROR(MATCH(TRUE,INDEX(L285:L327&lt;=0,0),0),43))</f>
        <v/>
      </c>
    </row>
    <row r="286" ht="18" customHeight="1">
      <c r="A286" s="22" t="n">
        <v>284</v>
      </c>
      <c r="B286" s="23">
        <f>IF(C286&lt;=Parametry!$C$6,DATE(Parametry!$C$12+INT((Parametry!$C$13+284-2)/12),MOD(Parametry!$C$13+284-2,12)+1,Parametry!$C$11),"")</f>
        <v/>
      </c>
      <c r="C286" s="24" t="n">
        <v>284</v>
      </c>
      <c r="D286" s="25">
        <f>IF(C286&lt;=Parametry!$C$6,L285,0)</f>
        <v/>
      </c>
      <c r="E286" s="26">
        <f>IF(OR(D286&lt;=0,C286&gt;Parametry!$C$6),0,IF(C286&lt;=Parametry!$C$9+1,Parametry!$C$8,Parametry!$C$10))</f>
        <v/>
      </c>
      <c r="F286" s="25">
        <f>IF(D286&lt;=0,0,ROUND(D286*E286/12,2))</f>
        <v/>
      </c>
      <c r="G286" s="25">
        <f>IF(OR(D286&lt;=0,C286&gt;Parametry!$C$6),0,MIN(IF(C286&lt;=Parametry!$C$9+1,Parametry!$C$7,Parametry!$C$14),ROUND(D286+F286,2)))</f>
        <v/>
      </c>
      <c r="H286" s="18" t="n"/>
      <c r="I286" s="19">
        <f>IF(OR(L286&lt;=0,C286&gt;=Parametry!$C$6),0,INDEX(G:G,ROW()+1))</f>
        <v/>
      </c>
      <c r="J286" s="27">
        <f>IF(D286&lt;=0,0,MIN(G286+N(H286),ROUND(D286+F286,2)))</f>
        <v/>
      </c>
      <c r="K286" s="25">
        <f>IF(J286&lt;=0,0,ROUND(MAX(0,J286-F286),2))</f>
        <v/>
      </c>
      <c r="L286" s="27">
        <f>IF(D286&lt;=0,0,ROUND(MAX(0,D286-K286),2))</f>
        <v/>
      </c>
      <c r="M286" s="28">
        <f>IF(L286&lt;=0,0,IFERROR(MATCH(TRUE,INDEX(L286:L327&lt;=0,0),0),42))</f>
        <v/>
      </c>
    </row>
    <row r="287" ht="18" customHeight="1">
      <c r="A287" s="13" t="n">
        <v>285</v>
      </c>
      <c r="B287" s="14">
        <f>IF(C287&lt;=Parametry!$C$6,DATE(Parametry!$C$12+INT((Parametry!$C$13+285-2)/12),MOD(Parametry!$C$13+285-2,12)+1,Parametry!$C$11),"")</f>
        <v/>
      </c>
      <c r="C287" s="15" t="n">
        <v>285</v>
      </c>
      <c r="D287" s="16">
        <f>IF(C287&lt;=Parametry!$C$6,L286,0)</f>
        <v/>
      </c>
      <c r="E287" s="17">
        <f>IF(OR(D287&lt;=0,C287&gt;Parametry!$C$6),0,IF(C287&lt;=Parametry!$C$9+1,Parametry!$C$8,Parametry!$C$10))</f>
        <v/>
      </c>
      <c r="F287" s="16">
        <f>IF(D287&lt;=0,0,ROUND(D287*E287/12,2))</f>
        <v/>
      </c>
      <c r="G287" s="16">
        <f>IF(OR(D287&lt;=0,C287&gt;Parametry!$C$6),0,MIN(IF(C287&lt;=Parametry!$C$9+1,Parametry!$C$7,Parametry!$C$14),ROUND(D287+F287,2)))</f>
        <v/>
      </c>
      <c r="H287" s="18" t="n"/>
      <c r="I287" s="19">
        <f>IF(OR(L287&lt;=0,C287&gt;=Parametry!$C$6),0,INDEX(G:G,ROW()+1))</f>
        <v/>
      </c>
      <c r="J287" s="20">
        <f>IF(D287&lt;=0,0,MIN(G287+N(H287),ROUND(D287+F287,2)))</f>
        <v/>
      </c>
      <c r="K287" s="16">
        <f>IF(J287&lt;=0,0,ROUND(MAX(0,J287-F287),2))</f>
        <v/>
      </c>
      <c r="L287" s="20">
        <f>IF(D287&lt;=0,0,ROUND(MAX(0,D287-K287),2))</f>
        <v/>
      </c>
      <c r="M287" s="21">
        <f>IF(L287&lt;=0,0,IFERROR(MATCH(TRUE,INDEX(L287:L327&lt;=0,0),0),41))</f>
        <v/>
      </c>
    </row>
    <row r="288" ht="18" customHeight="1">
      <c r="A288" s="22" t="n">
        <v>286</v>
      </c>
      <c r="B288" s="23">
        <f>IF(C288&lt;=Parametry!$C$6,DATE(Parametry!$C$12+INT((Parametry!$C$13+286-2)/12),MOD(Parametry!$C$13+286-2,12)+1,Parametry!$C$11),"")</f>
        <v/>
      </c>
      <c r="C288" s="24" t="n">
        <v>286</v>
      </c>
      <c r="D288" s="25">
        <f>IF(C288&lt;=Parametry!$C$6,L287,0)</f>
        <v/>
      </c>
      <c r="E288" s="26">
        <f>IF(OR(D288&lt;=0,C288&gt;Parametry!$C$6),0,IF(C288&lt;=Parametry!$C$9+1,Parametry!$C$8,Parametry!$C$10))</f>
        <v/>
      </c>
      <c r="F288" s="25">
        <f>IF(D288&lt;=0,0,ROUND(D288*E288/12,2))</f>
        <v/>
      </c>
      <c r="G288" s="25">
        <f>IF(OR(D288&lt;=0,C288&gt;Parametry!$C$6),0,MIN(IF(C288&lt;=Parametry!$C$9+1,Parametry!$C$7,Parametry!$C$14),ROUND(D288+F288,2)))</f>
        <v/>
      </c>
      <c r="H288" s="18" t="n"/>
      <c r="I288" s="19">
        <f>IF(OR(L288&lt;=0,C288&gt;=Parametry!$C$6),0,INDEX(G:G,ROW()+1))</f>
        <v/>
      </c>
      <c r="J288" s="27">
        <f>IF(D288&lt;=0,0,MIN(G288+N(H288),ROUND(D288+F288,2)))</f>
        <v/>
      </c>
      <c r="K288" s="25">
        <f>IF(J288&lt;=0,0,ROUND(MAX(0,J288-F288),2))</f>
        <v/>
      </c>
      <c r="L288" s="27">
        <f>IF(D288&lt;=0,0,ROUND(MAX(0,D288-K288),2))</f>
        <v/>
      </c>
      <c r="M288" s="28">
        <f>IF(L288&lt;=0,0,IFERROR(MATCH(TRUE,INDEX(L288:L327&lt;=0,0),0),40))</f>
        <v/>
      </c>
    </row>
    <row r="289" ht="18" customHeight="1">
      <c r="A289" s="13" t="n">
        <v>287</v>
      </c>
      <c r="B289" s="14">
        <f>IF(C289&lt;=Parametry!$C$6,DATE(Parametry!$C$12+INT((Parametry!$C$13+287-2)/12),MOD(Parametry!$C$13+287-2,12)+1,Parametry!$C$11),"")</f>
        <v/>
      </c>
      <c r="C289" s="15" t="n">
        <v>287</v>
      </c>
      <c r="D289" s="16">
        <f>IF(C289&lt;=Parametry!$C$6,L288,0)</f>
        <v/>
      </c>
      <c r="E289" s="17">
        <f>IF(OR(D289&lt;=0,C289&gt;Parametry!$C$6),0,IF(C289&lt;=Parametry!$C$9+1,Parametry!$C$8,Parametry!$C$10))</f>
        <v/>
      </c>
      <c r="F289" s="16">
        <f>IF(D289&lt;=0,0,ROUND(D289*E289/12,2))</f>
        <v/>
      </c>
      <c r="G289" s="16">
        <f>IF(OR(D289&lt;=0,C289&gt;Parametry!$C$6),0,MIN(IF(C289&lt;=Parametry!$C$9+1,Parametry!$C$7,Parametry!$C$14),ROUND(D289+F289,2)))</f>
        <v/>
      </c>
      <c r="H289" s="18" t="n"/>
      <c r="I289" s="19">
        <f>IF(OR(L289&lt;=0,C289&gt;=Parametry!$C$6),0,INDEX(G:G,ROW()+1))</f>
        <v/>
      </c>
      <c r="J289" s="20">
        <f>IF(D289&lt;=0,0,MIN(G289+N(H289),ROUND(D289+F289,2)))</f>
        <v/>
      </c>
      <c r="K289" s="16">
        <f>IF(J289&lt;=0,0,ROUND(MAX(0,J289-F289),2))</f>
        <v/>
      </c>
      <c r="L289" s="20">
        <f>IF(D289&lt;=0,0,ROUND(MAX(0,D289-K289),2))</f>
        <v/>
      </c>
      <c r="M289" s="21">
        <f>IF(L289&lt;=0,0,IFERROR(MATCH(TRUE,INDEX(L289:L327&lt;=0,0),0),39))</f>
        <v/>
      </c>
    </row>
    <row r="290" ht="18" customHeight="1">
      <c r="A290" s="22" t="n">
        <v>288</v>
      </c>
      <c r="B290" s="23">
        <f>IF(C290&lt;=Parametry!$C$6,DATE(Parametry!$C$12+INT((Parametry!$C$13+288-2)/12),MOD(Parametry!$C$13+288-2,12)+1,Parametry!$C$11),"")</f>
        <v/>
      </c>
      <c r="C290" s="24" t="n">
        <v>288</v>
      </c>
      <c r="D290" s="25">
        <f>IF(C290&lt;=Parametry!$C$6,L289,0)</f>
        <v/>
      </c>
      <c r="E290" s="26">
        <f>IF(OR(D290&lt;=0,C290&gt;Parametry!$C$6),0,IF(C290&lt;=Parametry!$C$9+1,Parametry!$C$8,Parametry!$C$10))</f>
        <v/>
      </c>
      <c r="F290" s="25">
        <f>IF(D290&lt;=0,0,ROUND(D290*E290/12,2))</f>
        <v/>
      </c>
      <c r="G290" s="25">
        <f>IF(OR(D290&lt;=0,C290&gt;Parametry!$C$6),0,MIN(IF(C290&lt;=Parametry!$C$9+1,Parametry!$C$7,Parametry!$C$14),ROUND(D290+F290,2)))</f>
        <v/>
      </c>
      <c r="H290" s="18" t="n"/>
      <c r="I290" s="19">
        <f>IF(OR(L290&lt;=0,C290&gt;=Parametry!$C$6),0,INDEX(G:G,ROW()+1))</f>
        <v/>
      </c>
      <c r="J290" s="27">
        <f>IF(D290&lt;=0,0,MIN(G290+N(H290),ROUND(D290+F290,2)))</f>
        <v/>
      </c>
      <c r="K290" s="25">
        <f>IF(J290&lt;=0,0,ROUND(MAX(0,J290-F290),2))</f>
        <v/>
      </c>
      <c r="L290" s="27">
        <f>IF(D290&lt;=0,0,ROUND(MAX(0,D290-K290),2))</f>
        <v/>
      </c>
      <c r="M290" s="28">
        <f>IF(L290&lt;=0,0,IFERROR(MATCH(TRUE,INDEX(L290:L327&lt;=0,0),0),38))</f>
        <v/>
      </c>
    </row>
    <row r="291" ht="18" customHeight="1">
      <c r="A291" s="13" t="n">
        <v>289</v>
      </c>
      <c r="B291" s="14">
        <f>IF(C291&lt;=Parametry!$C$6,DATE(Parametry!$C$12+INT((Parametry!$C$13+289-2)/12),MOD(Parametry!$C$13+289-2,12)+1,Parametry!$C$11),"")</f>
        <v/>
      </c>
      <c r="C291" s="15" t="n">
        <v>289</v>
      </c>
      <c r="D291" s="16">
        <f>IF(C291&lt;=Parametry!$C$6,L290,0)</f>
        <v/>
      </c>
      <c r="E291" s="17">
        <f>IF(OR(D291&lt;=0,C291&gt;Parametry!$C$6),0,IF(C291&lt;=Parametry!$C$9+1,Parametry!$C$8,Parametry!$C$10))</f>
        <v/>
      </c>
      <c r="F291" s="16">
        <f>IF(D291&lt;=0,0,ROUND(D291*E291/12,2))</f>
        <v/>
      </c>
      <c r="G291" s="16">
        <f>IF(OR(D291&lt;=0,C291&gt;Parametry!$C$6),0,MIN(IF(C291&lt;=Parametry!$C$9+1,Parametry!$C$7,Parametry!$C$14),ROUND(D291+F291,2)))</f>
        <v/>
      </c>
      <c r="H291" s="18" t="n"/>
      <c r="I291" s="19">
        <f>IF(OR(L291&lt;=0,C291&gt;=Parametry!$C$6),0,INDEX(G:G,ROW()+1))</f>
        <v/>
      </c>
      <c r="J291" s="20">
        <f>IF(D291&lt;=0,0,MIN(G291+N(H291),ROUND(D291+F291,2)))</f>
        <v/>
      </c>
      <c r="K291" s="16">
        <f>IF(J291&lt;=0,0,ROUND(MAX(0,J291-F291),2))</f>
        <v/>
      </c>
      <c r="L291" s="20">
        <f>IF(D291&lt;=0,0,ROUND(MAX(0,D291-K291),2))</f>
        <v/>
      </c>
      <c r="M291" s="21">
        <f>IF(L291&lt;=0,0,IFERROR(MATCH(TRUE,INDEX(L291:L327&lt;=0,0),0),37))</f>
        <v/>
      </c>
    </row>
    <row r="292" ht="18" customHeight="1">
      <c r="A292" s="22" t="n">
        <v>290</v>
      </c>
      <c r="B292" s="23">
        <f>IF(C292&lt;=Parametry!$C$6,DATE(Parametry!$C$12+INT((Parametry!$C$13+290-2)/12),MOD(Parametry!$C$13+290-2,12)+1,Parametry!$C$11),"")</f>
        <v/>
      </c>
      <c r="C292" s="24" t="n">
        <v>290</v>
      </c>
      <c r="D292" s="25">
        <f>IF(C292&lt;=Parametry!$C$6,L291,0)</f>
        <v/>
      </c>
      <c r="E292" s="26">
        <f>IF(OR(D292&lt;=0,C292&gt;Parametry!$C$6),0,IF(C292&lt;=Parametry!$C$9+1,Parametry!$C$8,Parametry!$C$10))</f>
        <v/>
      </c>
      <c r="F292" s="25">
        <f>IF(D292&lt;=0,0,ROUND(D292*E292/12,2))</f>
        <v/>
      </c>
      <c r="G292" s="25">
        <f>IF(OR(D292&lt;=0,C292&gt;Parametry!$C$6),0,MIN(IF(C292&lt;=Parametry!$C$9+1,Parametry!$C$7,Parametry!$C$14),ROUND(D292+F292,2)))</f>
        <v/>
      </c>
      <c r="H292" s="18" t="n"/>
      <c r="I292" s="19">
        <f>IF(OR(L292&lt;=0,C292&gt;=Parametry!$C$6),0,INDEX(G:G,ROW()+1))</f>
        <v/>
      </c>
      <c r="J292" s="27">
        <f>IF(D292&lt;=0,0,MIN(G292+N(H292),ROUND(D292+F292,2)))</f>
        <v/>
      </c>
      <c r="K292" s="25">
        <f>IF(J292&lt;=0,0,ROUND(MAX(0,J292-F292),2))</f>
        <v/>
      </c>
      <c r="L292" s="27">
        <f>IF(D292&lt;=0,0,ROUND(MAX(0,D292-K292),2))</f>
        <v/>
      </c>
      <c r="M292" s="28">
        <f>IF(L292&lt;=0,0,IFERROR(MATCH(TRUE,INDEX(L292:L327&lt;=0,0),0),36))</f>
        <v/>
      </c>
    </row>
    <row r="293" ht="18" customHeight="1">
      <c r="A293" s="13" t="n">
        <v>291</v>
      </c>
      <c r="B293" s="14">
        <f>IF(C293&lt;=Parametry!$C$6,DATE(Parametry!$C$12+INT((Parametry!$C$13+291-2)/12),MOD(Parametry!$C$13+291-2,12)+1,Parametry!$C$11),"")</f>
        <v/>
      </c>
      <c r="C293" s="15" t="n">
        <v>291</v>
      </c>
      <c r="D293" s="16">
        <f>IF(C293&lt;=Parametry!$C$6,L292,0)</f>
        <v/>
      </c>
      <c r="E293" s="17">
        <f>IF(OR(D293&lt;=0,C293&gt;Parametry!$C$6),0,IF(C293&lt;=Parametry!$C$9+1,Parametry!$C$8,Parametry!$C$10))</f>
        <v/>
      </c>
      <c r="F293" s="16">
        <f>IF(D293&lt;=0,0,ROUND(D293*E293/12,2))</f>
        <v/>
      </c>
      <c r="G293" s="16">
        <f>IF(OR(D293&lt;=0,C293&gt;Parametry!$C$6),0,MIN(IF(C293&lt;=Parametry!$C$9+1,Parametry!$C$7,Parametry!$C$14),ROUND(D293+F293,2)))</f>
        <v/>
      </c>
      <c r="H293" s="18" t="n"/>
      <c r="I293" s="19">
        <f>IF(OR(L293&lt;=0,C293&gt;=Parametry!$C$6),0,INDEX(G:G,ROW()+1))</f>
        <v/>
      </c>
      <c r="J293" s="20">
        <f>IF(D293&lt;=0,0,MIN(G293+N(H293),ROUND(D293+F293,2)))</f>
        <v/>
      </c>
      <c r="K293" s="16">
        <f>IF(J293&lt;=0,0,ROUND(MAX(0,J293-F293),2))</f>
        <v/>
      </c>
      <c r="L293" s="20">
        <f>IF(D293&lt;=0,0,ROUND(MAX(0,D293-K293),2))</f>
        <v/>
      </c>
      <c r="M293" s="21">
        <f>IF(L293&lt;=0,0,IFERROR(MATCH(TRUE,INDEX(L293:L327&lt;=0,0),0),35))</f>
        <v/>
      </c>
    </row>
    <row r="294" ht="18" customHeight="1">
      <c r="A294" s="22" t="n">
        <v>292</v>
      </c>
      <c r="B294" s="23">
        <f>IF(C294&lt;=Parametry!$C$6,DATE(Parametry!$C$12+INT((Parametry!$C$13+292-2)/12),MOD(Parametry!$C$13+292-2,12)+1,Parametry!$C$11),"")</f>
        <v/>
      </c>
      <c r="C294" s="24" t="n">
        <v>292</v>
      </c>
      <c r="D294" s="25">
        <f>IF(C294&lt;=Parametry!$C$6,L293,0)</f>
        <v/>
      </c>
      <c r="E294" s="26">
        <f>IF(OR(D294&lt;=0,C294&gt;Parametry!$C$6),0,IF(C294&lt;=Parametry!$C$9+1,Parametry!$C$8,Parametry!$C$10))</f>
        <v/>
      </c>
      <c r="F294" s="25">
        <f>IF(D294&lt;=0,0,ROUND(D294*E294/12,2))</f>
        <v/>
      </c>
      <c r="G294" s="25">
        <f>IF(OR(D294&lt;=0,C294&gt;Parametry!$C$6),0,MIN(IF(C294&lt;=Parametry!$C$9+1,Parametry!$C$7,Parametry!$C$14),ROUND(D294+F294,2)))</f>
        <v/>
      </c>
      <c r="H294" s="18" t="n"/>
      <c r="I294" s="19">
        <f>IF(OR(L294&lt;=0,C294&gt;=Parametry!$C$6),0,INDEX(G:G,ROW()+1))</f>
        <v/>
      </c>
      <c r="J294" s="27">
        <f>IF(D294&lt;=0,0,MIN(G294+N(H294),ROUND(D294+F294,2)))</f>
        <v/>
      </c>
      <c r="K294" s="25">
        <f>IF(J294&lt;=0,0,ROUND(MAX(0,J294-F294),2))</f>
        <v/>
      </c>
      <c r="L294" s="27">
        <f>IF(D294&lt;=0,0,ROUND(MAX(0,D294-K294),2))</f>
        <v/>
      </c>
      <c r="M294" s="28">
        <f>IF(L294&lt;=0,0,IFERROR(MATCH(TRUE,INDEX(L294:L327&lt;=0,0),0),34))</f>
        <v/>
      </c>
    </row>
    <row r="295" ht="18" customHeight="1">
      <c r="A295" s="13" t="n">
        <v>293</v>
      </c>
      <c r="B295" s="14">
        <f>IF(C295&lt;=Parametry!$C$6,DATE(Parametry!$C$12+INT((Parametry!$C$13+293-2)/12),MOD(Parametry!$C$13+293-2,12)+1,Parametry!$C$11),"")</f>
        <v/>
      </c>
      <c r="C295" s="15" t="n">
        <v>293</v>
      </c>
      <c r="D295" s="16">
        <f>IF(C295&lt;=Parametry!$C$6,L294,0)</f>
        <v/>
      </c>
      <c r="E295" s="17">
        <f>IF(OR(D295&lt;=0,C295&gt;Parametry!$C$6),0,IF(C295&lt;=Parametry!$C$9+1,Parametry!$C$8,Parametry!$C$10))</f>
        <v/>
      </c>
      <c r="F295" s="16">
        <f>IF(D295&lt;=0,0,ROUND(D295*E295/12,2))</f>
        <v/>
      </c>
      <c r="G295" s="16">
        <f>IF(OR(D295&lt;=0,C295&gt;Parametry!$C$6),0,MIN(IF(C295&lt;=Parametry!$C$9+1,Parametry!$C$7,Parametry!$C$14),ROUND(D295+F295,2)))</f>
        <v/>
      </c>
      <c r="H295" s="18" t="n"/>
      <c r="I295" s="19">
        <f>IF(OR(L295&lt;=0,C295&gt;=Parametry!$C$6),0,INDEX(G:G,ROW()+1))</f>
        <v/>
      </c>
      <c r="J295" s="20">
        <f>IF(D295&lt;=0,0,MIN(G295+N(H295),ROUND(D295+F295,2)))</f>
        <v/>
      </c>
      <c r="K295" s="16">
        <f>IF(J295&lt;=0,0,ROUND(MAX(0,J295-F295),2))</f>
        <v/>
      </c>
      <c r="L295" s="20">
        <f>IF(D295&lt;=0,0,ROUND(MAX(0,D295-K295),2))</f>
        <v/>
      </c>
      <c r="M295" s="21">
        <f>IF(L295&lt;=0,0,IFERROR(MATCH(TRUE,INDEX(L295:L327&lt;=0,0),0),33))</f>
        <v/>
      </c>
    </row>
    <row r="296" ht="18" customHeight="1">
      <c r="A296" s="22" t="n">
        <v>294</v>
      </c>
      <c r="B296" s="23">
        <f>IF(C296&lt;=Parametry!$C$6,DATE(Parametry!$C$12+INT((Parametry!$C$13+294-2)/12),MOD(Parametry!$C$13+294-2,12)+1,Parametry!$C$11),"")</f>
        <v/>
      </c>
      <c r="C296" s="24" t="n">
        <v>294</v>
      </c>
      <c r="D296" s="25">
        <f>IF(C296&lt;=Parametry!$C$6,L295,0)</f>
        <v/>
      </c>
      <c r="E296" s="26">
        <f>IF(OR(D296&lt;=0,C296&gt;Parametry!$C$6),0,IF(C296&lt;=Parametry!$C$9+1,Parametry!$C$8,Parametry!$C$10))</f>
        <v/>
      </c>
      <c r="F296" s="25">
        <f>IF(D296&lt;=0,0,ROUND(D296*E296/12,2))</f>
        <v/>
      </c>
      <c r="G296" s="25">
        <f>IF(OR(D296&lt;=0,C296&gt;Parametry!$C$6),0,MIN(IF(C296&lt;=Parametry!$C$9+1,Parametry!$C$7,Parametry!$C$14),ROUND(D296+F296,2)))</f>
        <v/>
      </c>
      <c r="H296" s="18" t="n"/>
      <c r="I296" s="19">
        <f>IF(OR(L296&lt;=0,C296&gt;=Parametry!$C$6),0,INDEX(G:G,ROW()+1))</f>
        <v/>
      </c>
      <c r="J296" s="27">
        <f>IF(D296&lt;=0,0,MIN(G296+N(H296),ROUND(D296+F296,2)))</f>
        <v/>
      </c>
      <c r="K296" s="25">
        <f>IF(J296&lt;=0,0,ROUND(MAX(0,J296-F296),2))</f>
        <v/>
      </c>
      <c r="L296" s="27">
        <f>IF(D296&lt;=0,0,ROUND(MAX(0,D296-K296),2))</f>
        <v/>
      </c>
      <c r="M296" s="28">
        <f>IF(L296&lt;=0,0,IFERROR(MATCH(TRUE,INDEX(L296:L327&lt;=0,0),0),32))</f>
        <v/>
      </c>
    </row>
    <row r="297" ht="18" customHeight="1">
      <c r="A297" s="13" t="n">
        <v>295</v>
      </c>
      <c r="B297" s="14">
        <f>IF(C297&lt;=Parametry!$C$6,DATE(Parametry!$C$12+INT((Parametry!$C$13+295-2)/12),MOD(Parametry!$C$13+295-2,12)+1,Parametry!$C$11),"")</f>
        <v/>
      </c>
      <c r="C297" s="15" t="n">
        <v>295</v>
      </c>
      <c r="D297" s="16">
        <f>IF(C297&lt;=Parametry!$C$6,L296,0)</f>
        <v/>
      </c>
      <c r="E297" s="17">
        <f>IF(OR(D297&lt;=0,C297&gt;Parametry!$C$6),0,IF(C297&lt;=Parametry!$C$9+1,Parametry!$C$8,Parametry!$C$10))</f>
        <v/>
      </c>
      <c r="F297" s="16">
        <f>IF(D297&lt;=0,0,ROUND(D297*E297/12,2))</f>
        <v/>
      </c>
      <c r="G297" s="16">
        <f>IF(OR(D297&lt;=0,C297&gt;Parametry!$C$6),0,MIN(IF(C297&lt;=Parametry!$C$9+1,Parametry!$C$7,Parametry!$C$14),ROUND(D297+F297,2)))</f>
        <v/>
      </c>
      <c r="H297" s="18" t="n"/>
      <c r="I297" s="19">
        <f>IF(OR(L297&lt;=0,C297&gt;=Parametry!$C$6),0,INDEX(G:G,ROW()+1))</f>
        <v/>
      </c>
      <c r="J297" s="20">
        <f>IF(D297&lt;=0,0,MIN(G297+N(H297),ROUND(D297+F297,2)))</f>
        <v/>
      </c>
      <c r="K297" s="16">
        <f>IF(J297&lt;=0,0,ROUND(MAX(0,J297-F297),2))</f>
        <v/>
      </c>
      <c r="L297" s="20">
        <f>IF(D297&lt;=0,0,ROUND(MAX(0,D297-K297),2))</f>
        <v/>
      </c>
      <c r="M297" s="21">
        <f>IF(L297&lt;=0,0,IFERROR(MATCH(TRUE,INDEX(L297:L327&lt;=0,0),0),31))</f>
        <v/>
      </c>
    </row>
    <row r="298" ht="18" customHeight="1">
      <c r="A298" s="22" t="n">
        <v>296</v>
      </c>
      <c r="B298" s="23">
        <f>IF(C298&lt;=Parametry!$C$6,DATE(Parametry!$C$12+INT((Parametry!$C$13+296-2)/12),MOD(Parametry!$C$13+296-2,12)+1,Parametry!$C$11),"")</f>
        <v/>
      </c>
      <c r="C298" s="24" t="n">
        <v>296</v>
      </c>
      <c r="D298" s="25">
        <f>IF(C298&lt;=Parametry!$C$6,L297,0)</f>
        <v/>
      </c>
      <c r="E298" s="26">
        <f>IF(OR(D298&lt;=0,C298&gt;Parametry!$C$6),0,IF(C298&lt;=Parametry!$C$9+1,Parametry!$C$8,Parametry!$C$10))</f>
        <v/>
      </c>
      <c r="F298" s="25">
        <f>IF(D298&lt;=0,0,ROUND(D298*E298/12,2))</f>
        <v/>
      </c>
      <c r="G298" s="25">
        <f>IF(OR(D298&lt;=0,C298&gt;Parametry!$C$6),0,MIN(IF(C298&lt;=Parametry!$C$9+1,Parametry!$C$7,Parametry!$C$14),ROUND(D298+F298,2)))</f>
        <v/>
      </c>
      <c r="H298" s="18" t="n"/>
      <c r="I298" s="19">
        <f>IF(OR(L298&lt;=0,C298&gt;=Parametry!$C$6),0,INDEX(G:G,ROW()+1))</f>
        <v/>
      </c>
      <c r="J298" s="27">
        <f>IF(D298&lt;=0,0,MIN(G298+N(H298),ROUND(D298+F298,2)))</f>
        <v/>
      </c>
      <c r="K298" s="25">
        <f>IF(J298&lt;=0,0,ROUND(MAX(0,J298-F298),2))</f>
        <v/>
      </c>
      <c r="L298" s="27">
        <f>IF(D298&lt;=0,0,ROUND(MAX(0,D298-K298),2))</f>
        <v/>
      </c>
      <c r="M298" s="28">
        <f>IF(L298&lt;=0,0,IFERROR(MATCH(TRUE,INDEX(L298:L327&lt;=0,0),0),30))</f>
        <v/>
      </c>
    </row>
    <row r="299" ht="18" customHeight="1">
      <c r="A299" s="13" t="n">
        <v>297</v>
      </c>
      <c r="B299" s="14">
        <f>IF(C299&lt;=Parametry!$C$6,DATE(Parametry!$C$12+INT((Parametry!$C$13+297-2)/12),MOD(Parametry!$C$13+297-2,12)+1,Parametry!$C$11),"")</f>
        <v/>
      </c>
      <c r="C299" s="15" t="n">
        <v>297</v>
      </c>
      <c r="D299" s="16">
        <f>IF(C299&lt;=Parametry!$C$6,L298,0)</f>
        <v/>
      </c>
      <c r="E299" s="17">
        <f>IF(OR(D299&lt;=0,C299&gt;Parametry!$C$6),0,IF(C299&lt;=Parametry!$C$9+1,Parametry!$C$8,Parametry!$C$10))</f>
        <v/>
      </c>
      <c r="F299" s="16">
        <f>IF(D299&lt;=0,0,ROUND(D299*E299/12,2))</f>
        <v/>
      </c>
      <c r="G299" s="16">
        <f>IF(OR(D299&lt;=0,C299&gt;Parametry!$C$6),0,MIN(IF(C299&lt;=Parametry!$C$9+1,Parametry!$C$7,Parametry!$C$14),ROUND(D299+F299,2)))</f>
        <v/>
      </c>
      <c r="H299" s="18" t="n"/>
      <c r="I299" s="19">
        <f>IF(OR(L299&lt;=0,C299&gt;=Parametry!$C$6),0,INDEX(G:G,ROW()+1))</f>
        <v/>
      </c>
      <c r="J299" s="20">
        <f>IF(D299&lt;=0,0,MIN(G299+N(H299),ROUND(D299+F299,2)))</f>
        <v/>
      </c>
      <c r="K299" s="16">
        <f>IF(J299&lt;=0,0,ROUND(MAX(0,J299-F299),2))</f>
        <v/>
      </c>
      <c r="L299" s="20">
        <f>IF(D299&lt;=0,0,ROUND(MAX(0,D299-K299),2))</f>
        <v/>
      </c>
      <c r="M299" s="21">
        <f>IF(L299&lt;=0,0,IFERROR(MATCH(TRUE,INDEX(L299:L327&lt;=0,0),0),29))</f>
        <v/>
      </c>
    </row>
    <row r="300" ht="18" customHeight="1">
      <c r="A300" s="22" t="n">
        <v>298</v>
      </c>
      <c r="B300" s="23">
        <f>IF(C300&lt;=Parametry!$C$6,DATE(Parametry!$C$12+INT((Parametry!$C$13+298-2)/12),MOD(Parametry!$C$13+298-2,12)+1,Parametry!$C$11),"")</f>
        <v/>
      </c>
      <c r="C300" s="24" t="n">
        <v>298</v>
      </c>
      <c r="D300" s="25">
        <f>IF(C300&lt;=Parametry!$C$6,L299,0)</f>
        <v/>
      </c>
      <c r="E300" s="26">
        <f>IF(OR(D300&lt;=0,C300&gt;Parametry!$C$6),0,IF(C300&lt;=Parametry!$C$9+1,Parametry!$C$8,Parametry!$C$10))</f>
        <v/>
      </c>
      <c r="F300" s="25">
        <f>IF(D300&lt;=0,0,ROUND(D300*E300/12,2))</f>
        <v/>
      </c>
      <c r="G300" s="25">
        <f>IF(OR(D300&lt;=0,C300&gt;Parametry!$C$6),0,MIN(IF(C300&lt;=Parametry!$C$9+1,Parametry!$C$7,Parametry!$C$14),ROUND(D300+F300,2)))</f>
        <v/>
      </c>
      <c r="H300" s="18" t="n"/>
      <c r="I300" s="19">
        <f>IF(OR(L300&lt;=0,C300&gt;=Parametry!$C$6),0,INDEX(G:G,ROW()+1))</f>
        <v/>
      </c>
      <c r="J300" s="27">
        <f>IF(D300&lt;=0,0,MIN(G300+N(H300),ROUND(D300+F300,2)))</f>
        <v/>
      </c>
      <c r="K300" s="25">
        <f>IF(J300&lt;=0,0,ROUND(MAX(0,J300-F300),2))</f>
        <v/>
      </c>
      <c r="L300" s="27">
        <f>IF(D300&lt;=0,0,ROUND(MAX(0,D300-K300),2))</f>
        <v/>
      </c>
      <c r="M300" s="28">
        <f>IF(L300&lt;=0,0,IFERROR(MATCH(TRUE,INDEX(L300:L327&lt;=0,0),0),28))</f>
        <v/>
      </c>
    </row>
    <row r="301" ht="18" customHeight="1">
      <c r="A301" s="13" t="n">
        <v>299</v>
      </c>
      <c r="B301" s="14">
        <f>IF(C301&lt;=Parametry!$C$6,DATE(Parametry!$C$12+INT((Parametry!$C$13+299-2)/12),MOD(Parametry!$C$13+299-2,12)+1,Parametry!$C$11),"")</f>
        <v/>
      </c>
      <c r="C301" s="15" t="n">
        <v>299</v>
      </c>
      <c r="D301" s="16">
        <f>IF(C301&lt;=Parametry!$C$6,L300,0)</f>
        <v/>
      </c>
      <c r="E301" s="17">
        <f>IF(OR(D301&lt;=0,C301&gt;Parametry!$C$6),0,IF(C301&lt;=Parametry!$C$9+1,Parametry!$C$8,Parametry!$C$10))</f>
        <v/>
      </c>
      <c r="F301" s="16">
        <f>IF(D301&lt;=0,0,ROUND(D301*E301/12,2))</f>
        <v/>
      </c>
      <c r="G301" s="16">
        <f>IF(OR(D301&lt;=0,C301&gt;Parametry!$C$6),0,MIN(IF(C301&lt;=Parametry!$C$9+1,Parametry!$C$7,Parametry!$C$14),ROUND(D301+F301,2)))</f>
        <v/>
      </c>
      <c r="H301" s="18" t="n"/>
      <c r="I301" s="19">
        <f>IF(OR(L301&lt;=0,C301&gt;=Parametry!$C$6),0,INDEX(G:G,ROW()+1))</f>
        <v/>
      </c>
      <c r="J301" s="20">
        <f>IF(D301&lt;=0,0,MIN(G301+N(H301),ROUND(D301+F301,2)))</f>
        <v/>
      </c>
      <c r="K301" s="16">
        <f>IF(J301&lt;=0,0,ROUND(MAX(0,J301-F301),2))</f>
        <v/>
      </c>
      <c r="L301" s="20">
        <f>IF(D301&lt;=0,0,ROUND(MAX(0,D301-K301),2))</f>
        <v/>
      </c>
      <c r="M301" s="21">
        <f>IF(L301&lt;=0,0,IFERROR(MATCH(TRUE,INDEX(L301:L327&lt;=0,0),0),27))</f>
        <v/>
      </c>
    </row>
    <row r="302" ht="18" customHeight="1">
      <c r="A302" s="22" t="n">
        <v>300</v>
      </c>
      <c r="B302" s="23">
        <f>IF(C302&lt;=Parametry!$C$6,DATE(Parametry!$C$12+INT((Parametry!$C$13+300-2)/12),MOD(Parametry!$C$13+300-2,12)+1,Parametry!$C$11),"")</f>
        <v/>
      </c>
      <c r="C302" s="24" t="n">
        <v>300</v>
      </c>
      <c r="D302" s="25">
        <f>IF(C302&lt;=Parametry!$C$6,L301,0)</f>
        <v/>
      </c>
      <c r="E302" s="26">
        <f>IF(OR(D302&lt;=0,C302&gt;Parametry!$C$6),0,IF(C302&lt;=Parametry!$C$9+1,Parametry!$C$8,Parametry!$C$10))</f>
        <v/>
      </c>
      <c r="F302" s="25">
        <f>IF(D302&lt;=0,0,ROUND(D302*E302/12,2))</f>
        <v/>
      </c>
      <c r="G302" s="25">
        <f>IF(OR(D302&lt;=0,C302&gt;Parametry!$C$6),0,MIN(IF(C302&lt;=Parametry!$C$9+1,Parametry!$C$7,Parametry!$C$14),ROUND(D302+F302,2)))</f>
        <v/>
      </c>
      <c r="H302" s="18" t="n"/>
      <c r="I302" s="19">
        <f>IF(OR(L302&lt;=0,C302&gt;=Parametry!$C$6),0,INDEX(G:G,ROW()+1))</f>
        <v/>
      </c>
      <c r="J302" s="27">
        <f>IF(D302&lt;=0,0,MIN(G302+N(H302),ROUND(D302+F302,2)))</f>
        <v/>
      </c>
      <c r="K302" s="25">
        <f>IF(J302&lt;=0,0,ROUND(MAX(0,J302-F302),2))</f>
        <v/>
      </c>
      <c r="L302" s="27">
        <f>IF(D302&lt;=0,0,ROUND(MAX(0,D302-K302),2))</f>
        <v/>
      </c>
      <c r="M302" s="28">
        <f>IF(L302&lt;=0,0,IFERROR(MATCH(TRUE,INDEX(L302:L327&lt;=0,0),0),26))</f>
        <v/>
      </c>
    </row>
    <row r="303" ht="18" customHeight="1">
      <c r="A303" s="13" t="n">
        <v>301</v>
      </c>
      <c r="B303" s="14">
        <f>IF(C303&lt;=Parametry!$C$6,DATE(Parametry!$C$12+INT((Parametry!$C$13+301-2)/12),MOD(Parametry!$C$13+301-2,12)+1,Parametry!$C$11),"")</f>
        <v/>
      </c>
      <c r="C303" s="15" t="n">
        <v>301</v>
      </c>
      <c r="D303" s="16">
        <f>IF(C303&lt;=Parametry!$C$6,L302,0)</f>
        <v/>
      </c>
      <c r="E303" s="17">
        <f>IF(OR(D303&lt;=0,C303&gt;Parametry!$C$6),0,IF(C303&lt;=Parametry!$C$9+1,Parametry!$C$8,Parametry!$C$10))</f>
        <v/>
      </c>
      <c r="F303" s="16">
        <f>IF(D303&lt;=0,0,ROUND(D303*E303/12,2))</f>
        <v/>
      </c>
      <c r="G303" s="16">
        <f>IF(OR(D303&lt;=0,C303&gt;Parametry!$C$6),0,MIN(IF(C303&lt;=Parametry!$C$9+1,Parametry!$C$7,Parametry!$C$14),ROUND(D303+F303,2)))</f>
        <v/>
      </c>
      <c r="H303" s="18" t="n"/>
      <c r="I303" s="19">
        <f>IF(OR(L303&lt;=0,C303&gt;=Parametry!$C$6),0,INDEX(G:G,ROW()+1))</f>
        <v/>
      </c>
      <c r="J303" s="20">
        <f>IF(D303&lt;=0,0,MIN(G303+N(H303),ROUND(D303+F303,2)))</f>
        <v/>
      </c>
      <c r="K303" s="16">
        <f>IF(J303&lt;=0,0,ROUND(MAX(0,J303-F303),2))</f>
        <v/>
      </c>
      <c r="L303" s="20">
        <f>IF(D303&lt;=0,0,ROUND(MAX(0,D303-K303),2))</f>
        <v/>
      </c>
      <c r="M303" s="21">
        <f>IF(L303&lt;=0,0,IFERROR(MATCH(TRUE,INDEX(L303:L327&lt;=0,0),0),25))</f>
        <v/>
      </c>
    </row>
    <row r="304" ht="18" customHeight="1">
      <c r="A304" s="22" t="n">
        <v>302</v>
      </c>
      <c r="B304" s="23">
        <f>IF(C304&lt;=Parametry!$C$6,DATE(Parametry!$C$12+INT((Parametry!$C$13+302-2)/12),MOD(Parametry!$C$13+302-2,12)+1,Parametry!$C$11),"")</f>
        <v/>
      </c>
      <c r="C304" s="24" t="n">
        <v>302</v>
      </c>
      <c r="D304" s="25">
        <f>IF(C304&lt;=Parametry!$C$6,L303,0)</f>
        <v/>
      </c>
      <c r="E304" s="26">
        <f>IF(OR(D304&lt;=0,C304&gt;Parametry!$C$6),0,IF(C304&lt;=Parametry!$C$9+1,Parametry!$C$8,Parametry!$C$10))</f>
        <v/>
      </c>
      <c r="F304" s="25">
        <f>IF(D304&lt;=0,0,ROUND(D304*E304/12,2))</f>
        <v/>
      </c>
      <c r="G304" s="25">
        <f>IF(OR(D304&lt;=0,C304&gt;Parametry!$C$6),0,MIN(IF(C304&lt;=Parametry!$C$9+1,Parametry!$C$7,Parametry!$C$14),ROUND(D304+F304,2)))</f>
        <v/>
      </c>
      <c r="H304" s="18" t="n"/>
      <c r="I304" s="19">
        <f>IF(OR(L304&lt;=0,C304&gt;=Parametry!$C$6),0,INDEX(G:G,ROW()+1))</f>
        <v/>
      </c>
      <c r="J304" s="27">
        <f>IF(D304&lt;=0,0,MIN(G304+N(H304),ROUND(D304+F304,2)))</f>
        <v/>
      </c>
      <c r="K304" s="25">
        <f>IF(J304&lt;=0,0,ROUND(MAX(0,J304-F304),2))</f>
        <v/>
      </c>
      <c r="L304" s="27">
        <f>IF(D304&lt;=0,0,ROUND(MAX(0,D304-K304),2))</f>
        <v/>
      </c>
      <c r="M304" s="28">
        <f>IF(L304&lt;=0,0,IFERROR(MATCH(TRUE,INDEX(L304:L327&lt;=0,0),0),24))</f>
        <v/>
      </c>
    </row>
    <row r="305" ht="18" customHeight="1">
      <c r="A305" s="13" t="n">
        <v>303</v>
      </c>
      <c r="B305" s="14">
        <f>IF(C305&lt;=Parametry!$C$6,DATE(Parametry!$C$12+INT((Parametry!$C$13+303-2)/12),MOD(Parametry!$C$13+303-2,12)+1,Parametry!$C$11),"")</f>
        <v/>
      </c>
      <c r="C305" s="15" t="n">
        <v>303</v>
      </c>
      <c r="D305" s="16">
        <f>IF(C305&lt;=Parametry!$C$6,L304,0)</f>
        <v/>
      </c>
      <c r="E305" s="17">
        <f>IF(OR(D305&lt;=0,C305&gt;Parametry!$C$6),0,IF(C305&lt;=Parametry!$C$9+1,Parametry!$C$8,Parametry!$C$10))</f>
        <v/>
      </c>
      <c r="F305" s="16">
        <f>IF(D305&lt;=0,0,ROUND(D305*E305/12,2))</f>
        <v/>
      </c>
      <c r="G305" s="16">
        <f>IF(OR(D305&lt;=0,C305&gt;Parametry!$C$6),0,MIN(IF(C305&lt;=Parametry!$C$9+1,Parametry!$C$7,Parametry!$C$14),ROUND(D305+F305,2)))</f>
        <v/>
      </c>
      <c r="H305" s="18" t="n"/>
      <c r="I305" s="19">
        <f>IF(OR(L305&lt;=0,C305&gt;=Parametry!$C$6),0,INDEX(G:G,ROW()+1))</f>
        <v/>
      </c>
      <c r="J305" s="20">
        <f>IF(D305&lt;=0,0,MIN(G305+N(H305),ROUND(D305+F305,2)))</f>
        <v/>
      </c>
      <c r="K305" s="16">
        <f>IF(J305&lt;=0,0,ROUND(MAX(0,J305-F305),2))</f>
        <v/>
      </c>
      <c r="L305" s="20">
        <f>IF(D305&lt;=0,0,ROUND(MAX(0,D305-K305),2))</f>
        <v/>
      </c>
      <c r="M305" s="21">
        <f>IF(L305&lt;=0,0,IFERROR(MATCH(TRUE,INDEX(L305:L327&lt;=0,0),0),23))</f>
        <v/>
      </c>
    </row>
    <row r="306" ht="18" customHeight="1">
      <c r="A306" s="22" t="n">
        <v>304</v>
      </c>
      <c r="B306" s="23">
        <f>IF(C306&lt;=Parametry!$C$6,DATE(Parametry!$C$12+INT((Parametry!$C$13+304-2)/12),MOD(Parametry!$C$13+304-2,12)+1,Parametry!$C$11),"")</f>
        <v/>
      </c>
      <c r="C306" s="24" t="n">
        <v>304</v>
      </c>
      <c r="D306" s="25">
        <f>IF(C306&lt;=Parametry!$C$6,L305,0)</f>
        <v/>
      </c>
      <c r="E306" s="26">
        <f>IF(OR(D306&lt;=0,C306&gt;Parametry!$C$6),0,IF(C306&lt;=Parametry!$C$9+1,Parametry!$C$8,Parametry!$C$10))</f>
        <v/>
      </c>
      <c r="F306" s="25">
        <f>IF(D306&lt;=0,0,ROUND(D306*E306/12,2))</f>
        <v/>
      </c>
      <c r="G306" s="25">
        <f>IF(OR(D306&lt;=0,C306&gt;Parametry!$C$6),0,MIN(IF(C306&lt;=Parametry!$C$9+1,Parametry!$C$7,Parametry!$C$14),ROUND(D306+F306,2)))</f>
        <v/>
      </c>
      <c r="H306" s="18" t="n"/>
      <c r="I306" s="19">
        <f>IF(OR(L306&lt;=0,C306&gt;=Parametry!$C$6),0,INDEX(G:G,ROW()+1))</f>
        <v/>
      </c>
      <c r="J306" s="27">
        <f>IF(D306&lt;=0,0,MIN(G306+N(H306),ROUND(D306+F306,2)))</f>
        <v/>
      </c>
      <c r="K306" s="25">
        <f>IF(J306&lt;=0,0,ROUND(MAX(0,J306-F306),2))</f>
        <v/>
      </c>
      <c r="L306" s="27">
        <f>IF(D306&lt;=0,0,ROUND(MAX(0,D306-K306),2))</f>
        <v/>
      </c>
      <c r="M306" s="28">
        <f>IF(L306&lt;=0,0,IFERROR(MATCH(TRUE,INDEX(L306:L327&lt;=0,0),0),22))</f>
        <v/>
      </c>
    </row>
    <row r="307" ht="18" customHeight="1">
      <c r="A307" s="13" t="n">
        <v>305</v>
      </c>
      <c r="B307" s="14">
        <f>IF(C307&lt;=Parametry!$C$6,DATE(Parametry!$C$12+INT((Parametry!$C$13+305-2)/12),MOD(Parametry!$C$13+305-2,12)+1,Parametry!$C$11),"")</f>
        <v/>
      </c>
      <c r="C307" s="15" t="n">
        <v>305</v>
      </c>
      <c r="D307" s="16">
        <f>IF(C307&lt;=Parametry!$C$6,L306,0)</f>
        <v/>
      </c>
      <c r="E307" s="17">
        <f>IF(OR(D307&lt;=0,C307&gt;Parametry!$C$6),0,IF(C307&lt;=Parametry!$C$9+1,Parametry!$C$8,Parametry!$C$10))</f>
        <v/>
      </c>
      <c r="F307" s="16">
        <f>IF(D307&lt;=0,0,ROUND(D307*E307/12,2))</f>
        <v/>
      </c>
      <c r="G307" s="16">
        <f>IF(OR(D307&lt;=0,C307&gt;Parametry!$C$6),0,MIN(IF(C307&lt;=Parametry!$C$9+1,Parametry!$C$7,Parametry!$C$14),ROUND(D307+F307,2)))</f>
        <v/>
      </c>
      <c r="H307" s="18" t="n"/>
      <c r="I307" s="19">
        <f>IF(OR(L307&lt;=0,C307&gt;=Parametry!$C$6),0,INDEX(G:G,ROW()+1))</f>
        <v/>
      </c>
      <c r="J307" s="20">
        <f>IF(D307&lt;=0,0,MIN(G307+N(H307),ROUND(D307+F307,2)))</f>
        <v/>
      </c>
      <c r="K307" s="16">
        <f>IF(J307&lt;=0,0,ROUND(MAX(0,J307-F307),2))</f>
        <v/>
      </c>
      <c r="L307" s="20">
        <f>IF(D307&lt;=0,0,ROUND(MAX(0,D307-K307),2))</f>
        <v/>
      </c>
      <c r="M307" s="21">
        <f>IF(L307&lt;=0,0,IFERROR(MATCH(TRUE,INDEX(L307:L327&lt;=0,0),0),21))</f>
        <v/>
      </c>
    </row>
    <row r="308" ht="18" customHeight="1">
      <c r="A308" s="22" t="n">
        <v>306</v>
      </c>
      <c r="B308" s="23">
        <f>IF(C308&lt;=Parametry!$C$6,DATE(Parametry!$C$12+INT((Parametry!$C$13+306-2)/12),MOD(Parametry!$C$13+306-2,12)+1,Parametry!$C$11),"")</f>
        <v/>
      </c>
      <c r="C308" s="24" t="n">
        <v>306</v>
      </c>
      <c r="D308" s="25">
        <f>IF(C308&lt;=Parametry!$C$6,L307,0)</f>
        <v/>
      </c>
      <c r="E308" s="26">
        <f>IF(OR(D308&lt;=0,C308&gt;Parametry!$C$6),0,IF(C308&lt;=Parametry!$C$9+1,Parametry!$C$8,Parametry!$C$10))</f>
        <v/>
      </c>
      <c r="F308" s="25">
        <f>IF(D308&lt;=0,0,ROUND(D308*E308/12,2))</f>
        <v/>
      </c>
      <c r="G308" s="25">
        <f>IF(OR(D308&lt;=0,C308&gt;Parametry!$C$6),0,MIN(IF(C308&lt;=Parametry!$C$9+1,Parametry!$C$7,Parametry!$C$14),ROUND(D308+F308,2)))</f>
        <v/>
      </c>
      <c r="H308" s="18" t="n"/>
      <c r="I308" s="19">
        <f>IF(OR(L308&lt;=0,C308&gt;=Parametry!$C$6),0,INDEX(G:G,ROW()+1))</f>
        <v/>
      </c>
      <c r="J308" s="27">
        <f>IF(D308&lt;=0,0,MIN(G308+N(H308),ROUND(D308+F308,2)))</f>
        <v/>
      </c>
      <c r="K308" s="25">
        <f>IF(J308&lt;=0,0,ROUND(MAX(0,J308-F308),2))</f>
        <v/>
      </c>
      <c r="L308" s="27">
        <f>IF(D308&lt;=0,0,ROUND(MAX(0,D308-K308),2))</f>
        <v/>
      </c>
      <c r="M308" s="28">
        <f>IF(L308&lt;=0,0,IFERROR(MATCH(TRUE,INDEX(L308:L327&lt;=0,0),0),20))</f>
        <v/>
      </c>
    </row>
    <row r="309" ht="18" customHeight="1">
      <c r="A309" s="13" t="n">
        <v>307</v>
      </c>
      <c r="B309" s="14">
        <f>IF(C309&lt;=Parametry!$C$6,DATE(Parametry!$C$12+INT((Parametry!$C$13+307-2)/12),MOD(Parametry!$C$13+307-2,12)+1,Parametry!$C$11),"")</f>
        <v/>
      </c>
      <c r="C309" s="15" t="n">
        <v>307</v>
      </c>
      <c r="D309" s="16">
        <f>IF(C309&lt;=Parametry!$C$6,L308,0)</f>
        <v/>
      </c>
      <c r="E309" s="17">
        <f>IF(OR(D309&lt;=0,C309&gt;Parametry!$C$6),0,IF(C309&lt;=Parametry!$C$9+1,Parametry!$C$8,Parametry!$C$10))</f>
        <v/>
      </c>
      <c r="F309" s="16">
        <f>IF(D309&lt;=0,0,ROUND(D309*E309/12,2))</f>
        <v/>
      </c>
      <c r="G309" s="16">
        <f>IF(OR(D309&lt;=0,C309&gt;Parametry!$C$6),0,MIN(IF(C309&lt;=Parametry!$C$9+1,Parametry!$C$7,Parametry!$C$14),ROUND(D309+F309,2)))</f>
        <v/>
      </c>
      <c r="H309" s="18" t="n"/>
      <c r="I309" s="19">
        <f>IF(OR(L309&lt;=0,C309&gt;=Parametry!$C$6),0,INDEX(G:G,ROW()+1))</f>
        <v/>
      </c>
      <c r="J309" s="20">
        <f>IF(D309&lt;=0,0,MIN(G309+N(H309),ROUND(D309+F309,2)))</f>
        <v/>
      </c>
      <c r="K309" s="16">
        <f>IF(J309&lt;=0,0,ROUND(MAX(0,J309-F309),2))</f>
        <v/>
      </c>
      <c r="L309" s="20">
        <f>IF(D309&lt;=0,0,ROUND(MAX(0,D309-K309),2))</f>
        <v/>
      </c>
      <c r="M309" s="21">
        <f>IF(L309&lt;=0,0,IFERROR(MATCH(TRUE,INDEX(L309:L327&lt;=0,0),0),19))</f>
        <v/>
      </c>
    </row>
    <row r="310" ht="18" customHeight="1">
      <c r="A310" s="22" t="n">
        <v>308</v>
      </c>
      <c r="B310" s="23">
        <f>IF(C310&lt;=Parametry!$C$6,DATE(Parametry!$C$12+INT((Parametry!$C$13+308-2)/12),MOD(Parametry!$C$13+308-2,12)+1,Parametry!$C$11),"")</f>
        <v/>
      </c>
      <c r="C310" s="24" t="n">
        <v>308</v>
      </c>
      <c r="D310" s="25">
        <f>IF(C310&lt;=Parametry!$C$6,L309,0)</f>
        <v/>
      </c>
      <c r="E310" s="26">
        <f>IF(OR(D310&lt;=0,C310&gt;Parametry!$C$6),0,IF(C310&lt;=Parametry!$C$9+1,Parametry!$C$8,Parametry!$C$10))</f>
        <v/>
      </c>
      <c r="F310" s="25">
        <f>IF(D310&lt;=0,0,ROUND(D310*E310/12,2))</f>
        <v/>
      </c>
      <c r="G310" s="25">
        <f>IF(OR(D310&lt;=0,C310&gt;Parametry!$C$6),0,MIN(IF(C310&lt;=Parametry!$C$9+1,Parametry!$C$7,Parametry!$C$14),ROUND(D310+F310,2)))</f>
        <v/>
      </c>
      <c r="H310" s="18" t="n"/>
      <c r="I310" s="19">
        <f>IF(OR(L310&lt;=0,C310&gt;=Parametry!$C$6),0,INDEX(G:G,ROW()+1))</f>
        <v/>
      </c>
      <c r="J310" s="27">
        <f>IF(D310&lt;=0,0,MIN(G310+N(H310),ROUND(D310+F310,2)))</f>
        <v/>
      </c>
      <c r="K310" s="25">
        <f>IF(J310&lt;=0,0,ROUND(MAX(0,J310-F310),2))</f>
        <v/>
      </c>
      <c r="L310" s="27">
        <f>IF(D310&lt;=0,0,ROUND(MAX(0,D310-K310),2))</f>
        <v/>
      </c>
      <c r="M310" s="28">
        <f>IF(L310&lt;=0,0,IFERROR(MATCH(TRUE,INDEX(L310:L327&lt;=0,0),0),18))</f>
        <v/>
      </c>
    </row>
    <row r="311" ht="18" customHeight="1">
      <c r="A311" s="13" t="n">
        <v>309</v>
      </c>
      <c r="B311" s="14">
        <f>IF(C311&lt;=Parametry!$C$6,DATE(Parametry!$C$12+INT((Parametry!$C$13+309-2)/12),MOD(Parametry!$C$13+309-2,12)+1,Parametry!$C$11),"")</f>
        <v/>
      </c>
      <c r="C311" s="15" t="n">
        <v>309</v>
      </c>
      <c r="D311" s="16">
        <f>IF(C311&lt;=Parametry!$C$6,L310,0)</f>
        <v/>
      </c>
      <c r="E311" s="17">
        <f>IF(OR(D311&lt;=0,C311&gt;Parametry!$C$6),0,IF(C311&lt;=Parametry!$C$9+1,Parametry!$C$8,Parametry!$C$10))</f>
        <v/>
      </c>
      <c r="F311" s="16">
        <f>IF(D311&lt;=0,0,ROUND(D311*E311/12,2))</f>
        <v/>
      </c>
      <c r="G311" s="16">
        <f>IF(OR(D311&lt;=0,C311&gt;Parametry!$C$6),0,MIN(IF(C311&lt;=Parametry!$C$9+1,Parametry!$C$7,Parametry!$C$14),ROUND(D311+F311,2)))</f>
        <v/>
      </c>
      <c r="H311" s="18" t="n"/>
      <c r="I311" s="19">
        <f>IF(OR(L311&lt;=0,C311&gt;=Parametry!$C$6),0,INDEX(G:G,ROW()+1))</f>
        <v/>
      </c>
      <c r="J311" s="20">
        <f>IF(D311&lt;=0,0,MIN(G311+N(H311),ROUND(D311+F311,2)))</f>
        <v/>
      </c>
      <c r="K311" s="16">
        <f>IF(J311&lt;=0,0,ROUND(MAX(0,J311-F311),2))</f>
        <v/>
      </c>
      <c r="L311" s="20">
        <f>IF(D311&lt;=0,0,ROUND(MAX(0,D311-K311),2))</f>
        <v/>
      </c>
      <c r="M311" s="21">
        <f>IF(L311&lt;=0,0,IFERROR(MATCH(TRUE,INDEX(L311:L327&lt;=0,0),0),17))</f>
        <v/>
      </c>
    </row>
    <row r="312" ht="18" customHeight="1">
      <c r="A312" s="22" t="n">
        <v>310</v>
      </c>
      <c r="B312" s="23">
        <f>IF(C312&lt;=Parametry!$C$6,DATE(Parametry!$C$12+INT((Parametry!$C$13+310-2)/12),MOD(Parametry!$C$13+310-2,12)+1,Parametry!$C$11),"")</f>
        <v/>
      </c>
      <c r="C312" s="24" t="n">
        <v>310</v>
      </c>
      <c r="D312" s="25">
        <f>IF(C312&lt;=Parametry!$C$6,L311,0)</f>
        <v/>
      </c>
      <c r="E312" s="26">
        <f>IF(OR(D312&lt;=0,C312&gt;Parametry!$C$6),0,IF(C312&lt;=Parametry!$C$9+1,Parametry!$C$8,Parametry!$C$10))</f>
        <v/>
      </c>
      <c r="F312" s="25">
        <f>IF(D312&lt;=0,0,ROUND(D312*E312/12,2))</f>
        <v/>
      </c>
      <c r="G312" s="25">
        <f>IF(OR(D312&lt;=0,C312&gt;Parametry!$C$6),0,MIN(IF(C312&lt;=Parametry!$C$9+1,Parametry!$C$7,Parametry!$C$14),ROUND(D312+F312,2)))</f>
        <v/>
      </c>
      <c r="H312" s="18" t="n"/>
      <c r="I312" s="19">
        <f>IF(OR(L312&lt;=0,C312&gt;=Parametry!$C$6),0,INDEX(G:G,ROW()+1))</f>
        <v/>
      </c>
      <c r="J312" s="27">
        <f>IF(D312&lt;=0,0,MIN(G312+N(H312),ROUND(D312+F312,2)))</f>
        <v/>
      </c>
      <c r="K312" s="25">
        <f>IF(J312&lt;=0,0,ROUND(MAX(0,J312-F312),2))</f>
        <v/>
      </c>
      <c r="L312" s="27">
        <f>IF(D312&lt;=0,0,ROUND(MAX(0,D312-K312),2))</f>
        <v/>
      </c>
      <c r="M312" s="28">
        <f>IF(L312&lt;=0,0,IFERROR(MATCH(TRUE,INDEX(L312:L327&lt;=0,0),0),16))</f>
        <v/>
      </c>
    </row>
    <row r="313" ht="18" customHeight="1">
      <c r="A313" s="13" t="n">
        <v>311</v>
      </c>
      <c r="B313" s="14">
        <f>IF(C313&lt;=Parametry!$C$6,DATE(Parametry!$C$12+INT((Parametry!$C$13+311-2)/12),MOD(Parametry!$C$13+311-2,12)+1,Parametry!$C$11),"")</f>
        <v/>
      </c>
      <c r="C313" s="15" t="n">
        <v>311</v>
      </c>
      <c r="D313" s="16">
        <f>IF(C313&lt;=Parametry!$C$6,L312,0)</f>
        <v/>
      </c>
      <c r="E313" s="17">
        <f>IF(OR(D313&lt;=0,C313&gt;Parametry!$C$6),0,IF(C313&lt;=Parametry!$C$9+1,Parametry!$C$8,Parametry!$C$10))</f>
        <v/>
      </c>
      <c r="F313" s="16">
        <f>IF(D313&lt;=0,0,ROUND(D313*E313/12,2))</f>
        <v/>
      </c>
      <c r="G313" s="16">
        <f>IF(OR(D313&lt;=0,C313&gt;Parametry!$C$6),0,MIN(IF(C313&lt;=Parametry!$C$9+1,Parametry!$C$7,Parametry!$C$14),ROUND(D313+F313,2)))</f>
        <v/>
      </c>
      <c r="H313" s="18" t="n"/>
      <c r="I313" s="19">
        <f>IF(OR(L313&lt;=0,C313&gt;=Parametry!$C$6),0,INDEX(G:G,ROW()+1))</f>
        <v/>
      </c>
      <c r="J313" s="20">
        <f>IF(D313&lt;=0,0,MIN(G313+N(H313),ROUND(D313+F313,2)))</f>
        <v/>
      </c>
      <c r="K313" s="16">
        <f>IF(J313&lt;=0,0,ROUND(MAX(0,J313-F313),2))</f>
        <v/>
      </c>
      <c r="L313" s="20">
        <f>IF(D313&lt;=0,0,ROUND(MAX(0,D313-K313),2))</f>
        <v/>
      </c>
      <c r="M313" s="21">
        <f>IF(L313&lt;=0,0,IFERROR(MATCH(TRUE,INDEX(L313:L327&lt;=0,0),0),15))</f>
        <v/>
      </c>
    </row>
    <row r="314" ht="18" customHeight="1">
      <c r="A314" s="22" t="n">
        <v>312</v>
      </c>
      <c r="B314" s="23">
        <f>IF(C314&lt;=Parametry!$C$6,DATE(Parametry!$C$12+INT((Parametry!$C$13+312-2)/12),MOD(Parametry!$C$13+312-2,12)+1,Parametry!$C$11),"")</f>
        <v/>
      </c>
      <c r="C314" s="24" t="n">
        <v>312</v>
      </c>
      <c r="D314" s="25">
        <f>IF(C314&lt;=Parametry!$C$6,L313,0)</f>
        <v/>
      </c>
      <c r="E314" s="26">
        <f>IF(OR(D314&lt;=0,C314&gt;Parametry!$C$6),0,IF(C314&lt;=Parametry!$C$9+1,Parametry!$C$8,Parametry!$C$10))</f>
        <v/>
      </c>
      <c r="F314" s="25">
        <f>IF(D314&lt;=0,0,ROUND(D314*E314/12,2))</f>
        <v/>
      </c>
      <c r="G314" s="25">
        <f>IF(OR(D314&lt;=0,C314&gt;Parametry!$C$6),0,MIN(IF(C314&lt;=Parametry!$C$9+1,Parametry!$C$7,Parametry!$C$14),ROUND(D314+F314,2)))</f>
        <v/>
      </c>
      <c r="H314" s="18" t="n"/>
      <c r="I314" s="19">
        <f>IF(OR(L314&lt;=0,C314&gt;=Parametry!$C$6),0,INDEX(G:G,ROW()+1))</f>
        <v/>
      </c>
      <c r="J314" s="27">
        <f>IF(D314&lt;=0,0,MIN(G314+N(H314),ROUND(D314+F314,2)))</f>
        <v/>
      </c>
      <c r="K314" s="25">
        <f>IF(J314&lt;=0,0,ROUND(MAX(0,J314-F314),2))</f>
        <v/>
      </c>
      <c r="L314" s="27">
        <f>IF(D314&lt;=0,0,ROUND(MAX(0,D314-K314),2))</f>
        <v/>
      </c>
      <c r="M314" s="28">
        <f>IF(L314&lt;=0,0,IFERROR(MATCH(TRUE,INDEX(L314:L327&lt;=0,0),0),14))</f>
        <v/>
      </c>
    </row>
    <row r="315" ht="18" customHeight="1">
      <c r="A315" s="13" t="n">
        <v>313</v>
      </c>
      <c r="B315" s="14">
        <f>IF(C315&lt;=Parametry!$C$6,DATE(Parametry!$C$12+INT((Parametry!$C$13+313-2)/12),MOD(Parametry!$C$13+313-2,12)+1,Parametry!$C$11),"")</f>
        <v/>
      </c>
      <c r="C315" s="15" t="n">
        <v>313</v>
      </c>
      <c r="D315" s="16">
        <f>IF(C315&lt;=Parametry!$C$6,L314,0)</f>
        <v/>
      </c>
      <c r="E315" s="17">
        <f>IF(OR(D315&lt;=0,C315&gt;Parametry!$C$6),0,IF(C315&lt;=Parametry!$C$9+1,Parametry!$C$8,Parametry!$C$10))</f>
        <v/>
      </c>
      <c r="F315" s="16">
        <f>IF(D315&lt;=0,0,ROUND(D315*E315/12,2))</f>
        <v/>
      </c>
      <c r="G315" s="16">
        <f>IF(OR(D315&lt;=0,C315&gt;Parametry!$C$6),0,MIN(IF(C315&lt;=Parametry!$C$9+1,Parametry!$C$7,Parametry!$C$14),ROUND(D315+F315,2)))</f>
        <v/>
      </c>
      <c r="H315" s="18" t="n"/>
      <c r="I315" s="19">
        <f>IF(OR(L315&lt;=0,C315&gt;=Parametry!$C$6),0,INDEX(G:G,ROW()+1))</f>
        <v/>
      </c>
      <c r="J315" s="20">
        <f>IF(D315&lt;=0,0,MIN(G315+N(H315),ROUND(D315+F315,2)))</f>
        <v/>
      </c>
      <c r="K315" s="16">
        <f>IF(J315&lt;=0,0,ROUND(MAX(0,J315-F315),2))</f>
        <v/>
      </c>
      <c r="L315" s="20">
        <f>IF(D315&lt;=0,0,ROUND(MAX(0,D315-K315),2))</f>
        <v/>
      </c>
      <c r="M315" s="21">
        <f>IF(L315&lt;=0,0,IFERROR(MATCH(TRUE,INDEX(L315:L327&lt;=0,0),0),13))</f>
        <v/>
      </c>
    </row>
    <row r="316" ht="18" customHeight="1">
      <c r="A316" s="22" t="n">
        <v>314</v>
      </c>
      <c r="B316" s="23">
        <f>IF(C316&lt;=Parametry!$C$6,DATE(Parametry!$C$12+INT((Parametry!$C$13+314-2)/12),MOD(Parametry!$C$13+314-2,12)+1,Parametry!$C$11),"")</f>
        <v/>
      </c>
      <c r="C316" s="24" t="n">
        <v>314</v>
      </c>
      <c r="D316" s="25">
        <f>IF(C316&lt;=Parametry!$C$6,L315,0)</f>
        <v/>
      </c>
      <c r="E316" s="26">
        <f>IF(OR(D316&lt;=0,C316&gt;Parametry!$C$6),0,IF(C316&lt;=Parametry!$C$9+1,Parametry!$C$8,Parametry!$C$10))</f>
        <v/>
      </c>
      <c r="F316" s="25">
        <f>IF(D316&lt;=0,0,ROUND(D316*E316/12,2))</f>
        <v/>
      </c>
      <c r="G316" s="25">
        <f>IF(OR(D316&lt;=0,C316&gt;Parametry!$C$6),0,MIN(IF(C316&lt;=Parametry!$C$9+1,Parametry!$C$7,Parametry!$C$14),ROUND(D316+F316,2)))</f>
        <v/>
      </c>
      <c r="H316" s="18" t="n"/>
      <c r="I316" s="19">
        <f>IF(OR(L316&lt;=0,C316&gt;=Parametry!$C$6),0,INDEX(G:G,ROW()+1))</f>
        <v/>
      </c>
      <c r="J316" s="27">
        <f>IF(D316&lt;=0,0,MIN(G316+N(H316),ROUND(D316+F316,2)))</f>
        <v/>
      </c>
      <c r="K316" s="25">
        <f>IF(J316&lt;=0,0,ROUND(MAX(0,J316-F316),2))</f>
        <v/>
      </c>
      <c r="L316" s="27">
        <f>IF(D316&lt;=0,0,ROUND(MAX(0,D316-K316),2))</f>
        <v/>
      </c>
      <c r="M316" s="28">
        <f>IF(L316&lt;=0,0,IFERROR(MATCH(TRUE,INDEX(L316:L327&lt;=0,0),0),12))</f>
        <v/>
      </c>
    </row>
    <row r="317" ht="18" customHeight="1">
      <c r="A317" s="13" t="n">
        <v>315</v>
      </c>
      <c r="B317" s="14">
        <f>IF(C317&lt;=Parametry!$C$6,DATE(Parametry!$C$12+INT((Parametry!$C$13+315-2)/12),MOD(Parametry!$C$13+315-2,12)+1,Parametry!$C$11),"")</f>
        <v/>
      </c>
      <c r="C317" s="15" t="n">
        <v>315</v>
      </c>
      <c r="D317" s="16">
        <f>IF(C317&lt;=Parametry!$C$6,L316,0)</f>
        <v/>
      </c>
      <c r="E317" s="17">
        <f>IF(OR(D317&lt;=0,C317&gt;Parametry!$C$6),0,IF(C317&lt;=Parametry!$C$9+1,Parametry!$C$8,Parametry!$C$10))</f>
        <v/>
      </c>
      <c r="F317" s="16">
        <f>IF(D317&lt;=0,0,ROUND(D317*E317/12,2))</f>
        <v/>
      </c>
      <c r="G317" s="16">
        <f>IF(OR(D317&lt;=0,C317&gt;Parametry!$C$6),0,MIN(IF(C317&lt;=Parametry!$C$9+1,Parametry!$C$7,Parametry!$C$14),ROUND(D317+F317,2)))</f>
        <v/>
      </c>
      <c r="H317" s="18" t="n"/>
      <c r="I317" s="19">
        <f>IF(OR(L317&lt;=0,C317&gt;=Parametry!$C$6),0,INDEX(G:G,ROW()+1))</f>
        <v/>
      </c>
      <c r="J317" s="20">
        <f>IF(D317&lt;=0,0,MIN(G317+N(H317),ROUND(D317+F317,2)))</f>
        <v/>
      </c>
      <c r="K317" s="16">
        <f>IF(J317&lt;=0,0,ROUND(MAX(0,J317-F317),2))</f>
        <v/>
      </c>
      <c r="L317" s="20">
        <f>IF(D317&lt;=0,0,ROUND(MAX(0,D317-K317),2))</f>
        <v/>
      </c>
      <c r="M317" s="21">
        <f>IF(L317&lt;=0,0,IFERROR(MATCH(TRUE,INDEX(L317:L327&lt;=0,0),0),11))</f>
        <v/>
      </c>
    </row>
    <row r="318" ht="18" customHeight="1">
      <c r="A318" s="22" t="n">
        <v>316</v>
      </c>
      <c r="B318" s="23">
        <f>IF(C318&lt;=Parametry!$C$6,DATE(Parametry!$C$12+INT((Parametry!$C$13+316-2)/12),MOD(Parametry!$C$13+316-2,12)+1,Parametry!$C$11),"")</f>
        <v/>
      </c>
      <c r="C318" s="24" t="n">
        <v>316</v>
      </c>
      <c r="D318" s="25">
        <f>IF(C318&lt;=Parametry!$C$6,L317,0)</f>
        <v/>
      </c>
      <c r="E318" s="26">
        <f>IF(OR(D318&lt;=0,C318&gt;Parametry!$C$6),0,IF(C318&lt;=Parametry!$C$9+1,Parametry!$C$8,Parametry!$C$10))</f>
        <v/>
      </c>
      <c r="F318" s="25">
        <f>IF(D318&lt;=0,0,ROUND(D318*E318/12,2))</f>
        <v/>
      </c>
      <c r="G318" s="25">
        <f>IF(OR(D318&lt;=0,C318&gt;Parametry!$C$6),0,MIN(IF(C318&lt;=Parametry!$C$9+1,Parametry!$C$7,Parametry!$C$14),ROUND(D318+F318,2)))</f>
        <v/>
      </c>
      <c r="H318" s="18" t="n"/>
      <c r="I318" s="19">
        <f>IF(OR(L318&lt;=0,C318&gt;=Parametry!$C$6),0,INDEX(G:G,ROW()+1))</f>
        <v/>
      </c>
      <c r="J318" s="27">
        <f>IF(D318&lt;=0,0,MIN(G318+N(H318),ROUND(D318+F318,2)))</f>
        <v/>
      </c>
      <c r="K318" s="25">
        <f>IF(J318&lt;=0,0,ROUND(MAX(0,J318-F318),2))</f>
        <v/>
      </c>
      <c r="L318" s="27">
        <f>IF(D318&lt;=0,0,ROUND(MAX(0,D318-K318),2))</f>
        <v/>
      </c>
      <c r="M318" s="28">
        <f>IF(L318&lt;=0,0,IFERROR(MATCH(TRUE,INDEX(L318:L327&lt;=0,0),0),10))</f>
        <v/>
      </c>
    </row>
    <row r="319" ht="18" customHeight="1">
      <c r="A319" s="13" t="n">
        <v>317</v>
      </c>
      <c r="B319" s="14">
        <f>IF(C319&lt;=Parametry!$C$6,DATE(Parametry!$C$12+INT((Parametry!$C$13+317-2)/12),MOD(Parametry!$C$13+317-2,12)+1,Parametry!$C$11),"")</f>
        <v/>
      </c>
      <c r="C319" s="15" t="n">
        <v>317</v>
      </c>
      <c r="D319" s="16">
        <f>IF(C319&lt;=Parametry!$C$6,L318,0)</f>
        <v/>
      </c>
      <c r="E319" s="17">
        <f>IF(OR(D319&lt;=0,C319&gt;Parametry!$C$6),0,IF(C319&lt;=Parametry!$C$9+1,Parametry!$C$8,Parametry!$C$10))</f>
        <v/>
      </c>
      <c r="F319" s="16">
        <f>IF(D319&lt;=0,0,ROUND(D319*E319/12,2))</f>
        <v/>
      </c>
      <c r="G319" s="16">
        <f>IF(OR(D319&lt;=0,C319&gt;Parametry!$C$6),0,MIN(IF(C319&lt;=Parametry!$C$9+1,Parametry!$C$7,Parametry!$C$14),ROUND(D319+F319,2)))</f>
        <v/>
      </c>
      <c r="H319" s="18" t="n"/>
      <c r="I319" s="19">
        <f>IF(OR(L319&lt;=0,C319&gt;=Parametry!$C$6),0,INDEX(G:G,ROW()+1))</f>
        <v/>
      </c>
      <c r="J319" s="20">
        <f>IF(D319&lt;=0,0,MIN(G319+N(H319),ROUND(D319+F319,2)))</f>
        <v/>
      </c>
      <c r="K319" s="16">
        <f>IF(J319&lt;=0,0,ROUND(MAX(0,J319-F319),2))</f>
        <v/>
      </c>
      <c r="L319" s="20">
        <f>IF(D319&lt;=0,0,ROUND(MAX(0,D319-K319),2))</f>
        <v/>
      </c>
      <c r="M319" s="21">
        <f>IF(L319&lt;=0,0,IFERROR(MATCH(TRUE,INDEX(L319:L327&lt;=0,0),0),9))</f>
        <v/>
      </c>
    </row>
    <row r="320" ht="18" customHeight="1">
      <c r="A320" s="22" t="n">
        <v>318</v>
      </c>
      <c r="B320" s="23">
        <f>IF(C320&lt;=Parametry!$C$6,DATE(Parametry!$C$12+INT((Parametry!$C$13+318-2)/12),MOD(Parametry!$C$13+318-2,12)+1,Parametry!$C$11),"")</f>
        <v/>
      </c>
      <c r="C320" s="24" t="n">
        <v>318</v>
      </c>
      <c r="D320" s="25">
        <f>IF(C320&lt;=Parametry!$C$6,L319,0)</f>
        <v/>
      </c>
      <c r="E320" s="26">
        <f>IF(OR(D320&lt;=0,C320&gt;Parametry!$C$6),0,IF(C320&lt;=Parametry!$C$9+1,Parametry!$C$8,Parametry!$C$10))</f>
        <v/>
      </c>
      <c r="F320" s="25">
        <f>IF(D320&lt;=0,0,ROUND(D320*E320/12,2))</f>
        <v/>
      </c>
      <c r="G320" s="25">
        <f>IF(OR(D320&lt;=0,C320&gt;Parametry!$C$6),0,MIN(IF(C320&lt;=Parametry!$C$9+1,Parametry!$C$7,Parametry!$C$14),ROUND(D320+F320,2)))</f>
        <v/>
      </c>
      <c r="H320" s="18" t="n"/>
      <c r="I320" s="19">
        <f>IF(OR(L320&lt;=0,C320&gt;=Parametry!$C$6),0,INDEX(G:G,ROW()+1))</f>
        <v/>
      </c>
      <c r="J320" s="27">
        <f>IF(D320&lt;=0,0,MIN(G320+N(H320),ROUND(D320+F320,2)))</f>
        <v/>
      </c>
      <c r="K320" s="25">
        <f>IF(J320&lt;=0,0,ROUND(MAX(0,J320-F320),2))</f>
        <v/>
      </c>
      <c r="L320" s="27">
        <f>IF(D320&lt;=0,0,ROUND(MAX(0,D320-K320),2))</f>
        <v/>
      </c>
      <c r="M320" s="28">
        <f>IF(L320&lt;=0,0,IFERROR(MATCH(TRUE,INDEX(L320:L327&lt;=0,0),0),8))</f>
        <v/>
      </c>
    </row>
    <row r="321" ht="18" customHeight="1">
      <c r="A321" s="13" t="n">
        <v>319</v>
      </c>
      <c r="B321" s="14">
        <f>IF(C321&lt;=Parametry!$C$6,DATE(Parametry!$C$12+INT((Parametry!$C$13+319-2)/12),MOD(Parametry!$C$13+319-2,12)+1,Parametry!$C$11),"")</f>
        <v/>
      </c>
      <c r="C321" s="15" t="n">
        <v>319</v>
      </c>
      <c r="D321" s="16">
        <f>IF(C321&lt;=Parametry!$C$6,L320,0)</f>
        <v/>
      </c>
      <c r="E321" s="17">
        <f>IF(OR(D321&lt;=0,C321&gt;Parametry!$C$6),0,IF(C321&lt;=Parametry!$C$9+1,Parametry!$C$8,Parametry!$C$10))</f>
        <v/>
      </c>
      <c r="F321" s="16">
        <f>IF(D321&lt;=0,0,ROUND(D321*E321/12,2))</f>
        <v/>
      </c>
      <c r="G321" s="16">
        <f>IF(OR(D321&lt;=0,C321&gt;Parametry!$C$6),0,MIN(IF(C321&lt;=Parametry!$C$9+1,Parametry!$C$7,Parametry!$C$14),ROUND(D321+F321,2)))</f>
        <v/>
      </c>
      <c r="H321" s="18" t="n"/>
      <c r="I321" s="19">
        <f>IF(OR(L321&lt;=0,C321&gt;=Parametry!$C$6),0,INDEX(G:G,ROW()+1))</f>
        <v/>
      </c>
      <c r="J321" s="20">
        <f>IF(D321&lt;=0,0,MIN(G321+N(H321),ROUND(D321+F321,2)))</f>
        <v/>
      </c>
      <c r="K321" s="16">
        <f>IF(J321&lt;=0,0,ROUND(MAX(0,J321-F321),2))</f>
        <v/>
      </c>
      <c r="L321" s="20">
        <f>IF(D321&lt;=0,0,ROUND(MAX(0,D321-K321),2))</f>
        <v/>
      </c>
      <c r="M321" s="21">
        <f>IF(L321&lt;=0,0,IFERROR(MATCH(TRUE,INDEX(L321:L327&lt;=0,0),0),7))</f>
        <v/>
      </c>
    </row>
    <row r="322" ht="18" customHeight="1">
      <c r="A322" s="22" t="n">
        <v>320</v>
      </c>
      <c r="B322" s="23">
        <f>IF(C322&lt;=Parametry!$C$6,DATE(Parametry!$C$12+INT((Parametry!$C$13+320-2)/12),MOD(Parametry!$C$13+320-2,12)+1,Parametry!$C$11),"")</f>
        <v/>
      </c>
      <c r="C322" s="24" t="n">
        <v>320</v>
      </c>
      <c r="D322" s="25">
        <f>IF(C322&lt;=Parametry!$C$6,L321,0)</f>
        <v/>
      </c>
      <c r="E322" s="26">
        <f>IF(OR(D322&lt;=0,C322&gt;Parametry!$C$6),0,IF(C322&lt;=Parametry!$C$9+1,Parametry!$C$8,Parametry!$C$10))</f>
        <v/>
      </c>
      <c r="F322" s="25">
        <f>IF(D322&lt;=0,0,ROUND(D322*E322/12,2))</f>
        <v/>
      </c>
      <c r="G322" s="25">
        <f>IF(OR(D322&lt;=0,C322&gt;Parametry!$C$6),0,MIN(IF(C322&lt;=Parametry!$C$9+1,Parametry!$C$7,Parametry!$C$14),ROUND(D322+F322,2)))</f>
        <v/>
      </c>
      <c r="H322" s="18" t="n"/>
      <c r="I322" s="19">
        <f>IF(OR(L322&lt;=0,C322&gt;=Parametry!$C$6),0,INDEX(G:G,ROW()+1))</f>
        <v/>
      </c>
      <c r="J322" s="27">
        <f>IF(D322&lt;=0,0,MIN(G322+N(H322),ROUND(D322+F322,2)))</f>
        <v/>
      </c>
      <c r="K322" s="25">
        <f>IF(J322&lt;=0,0,ROUND(MAX(0,J322-F322),2))</f>
        <v/>
      </c>
      <c r="L322" s="27">
        <f>IF(D322&lt;=0,0,ROUND(MAX(0,D322-K322),2))</f>
        <v/>
      </c>
      <c r="M322" s="28">
        <f>IF(L322&lt;=0,0,IFERROR(MATCH(TRUE,INDEX(L322:L327&lt;=0,0),0),6))</f>
        <v/>
      </c>
    </row>
    <row r="323" ht="18" customHeight="1">
      <c r="A323" s="13" t="n">
        <v>321</v>
      </c>
      <c r="B323" s="14">
        <f>IF(C323&lt;=Parametry!$C$6,DATE(Parametry!$C$12+INT((Parametry!$C$13+321-2)/12),MOD(Parametry!$C$13+321-2,12)+1,Parametry!$C$11),"")</f>
        <v/>
      </c>
      <c r="C323" s="15" t="n">
        <v>321</v>
      </c>
      <c r="D323" s="16">
        <f>IF(C323&lt;=Parametry!$C$6,L322,0)</f>
        <v/>
      </c>
      <c r="E323" s="17">
        <f>IF(OR(D323&lt;=0,C323&gt;Parametry!$C$6),0,IF(C323&lt;=Parametry!$C$9+1,Parametry!$C$8,Parametry!$C$10))</f>
        <v/>
      </c>
      <c r="F323" s="16">
        <f>IF(D323&lt;=0,0,ROUND(D323*E323/12,2))</f>
        <v/>
      </c>
      <c r="G323" s="16">
        <f>IF(OR(D323&lt;=0,C323&gt;Parametry!$C$6),0,MIN(IF(C323&lt;=Parametry!$C$9+1,Parametry!$C$7,Parametry!$C$14),ROUND(D323+F323,2)))</f>
        <v/>
      </c>
      <c r="H323" s="18" t="n"/>
      <c r="I323" s="19">
        <f>IF(OR(L323&lt;=0,C323&gt;=Parametry!$C$6),0,INDEX(G:G,ROW()+1))</f>
        <v/>
      </c>
      <c r="J323" s="20">
        <f>IF(D323&lt;=0,0,MIN(G323+N(H323),ROUND(D323+F323,2)))</f>
        <v/>
      </c>
      <c r="K323" s="16">
        <f>IF(J323&lt;=0,0,ROUND(MAX(0,J323-F323),2))</f>
        <v/>
      </c>
      <c r="L323" s="20">
        <f>IF(D323&lt;=0,0,ROUND(MAX(0,D323-K323),2))</f>
        <v/>
      </c>
      <c r="M323" s="21">
        <f>IF(L323&lt;=0,0,IFERROR(MATCH(TRUE,INDEX(L323:L327&lt;=0,0),0),5))</f>
        <v/>
      </c>
    </row>
    <row r="324" ht="18" customHeight="1">
      <c r="A324" s="22" t="n">
        <v>322</v>
      </c>
      <c r="B324" s="23">
        <f>IF(C324&lt;=Parametry!$C$6,DATE(Parametry!$C$12+INT((Parametry!$C$13+322-2)/12),MOD(Parametry!$C$13+322-2,12)+1,Parametry!$C$11),"")</f>
        <v/>
      </c>
      <c r="C324" s="24" t="n">
        <v>322</v>
      </c>
      <c r="D324" s="25">
        <f>IF(C324&lt;=Parametry!$C$6,L323,0)</f>
        <v/>
      </c>
      <c r="E324" s="26">
        <f>IF(OR(D324&lt;=0,C324&gt;Parametry!$C$6),0,IF(C324&lt;=Parametry!$C$9+1,Parametry!$C$8,Parametry!$C$10))</f>
        <v/>
      </c>
      <c r="F324" s="25">
        <f>IF(D324&lt;=0,0,ROUND(D324*E324/12,2))</f>
        <v/>
      </c>
      <c r="G324" s="25">
        <f>IF(OR(D324&lt;=0,C324&gt;Parametry!$C$6),0,MIN(IF(C324&lt;=Parametry!$C$9+1,Parametry!$C$7,Parametry!$C$14),ROUND(D324+F324,2)))</f>
        <v/>
      </c>
      <c r="H324" s="18" t="n"/>
      <c r="I324" s="19">
        <f>IF(OR(L324&lt;=0,C324&gt;=Parametry!$C$6),0,INDEX(G:G,ROW()+1))</f>
        <v/>
      </c>
      <c r="J324" s="27">
        <f>IF(D324&lt;=0,0,MIN(G324+N(H324),ROUND(D324+F324,2)))</f>
        <v/>
      </c>
      <c r="K324" s="25">
        <f>IF(J324&lt;=0,0,ROUND(MAX(0,J324-F324),2))</f>
        <v/>
      </c>
      <c r="L324" s="27">
        <f>IF(D324&lt;=0,0,ROUND(MAX(0,D324-K324),2))</f>
        <v/>
      </c>
      <c r="M324" s="28">
        <f>IF(L324&lt;=0,0,IFERROR(MATCH(TRUE,INDEX(L324:L327&lt;=0,0),0),4))</f>
        <v/>
      </c>
    </row>
    <row r="325" ht="18" customHeight="1">
      <c r="A325" s="13" t="n">
        <v>323</v>
      </c>
      <c r="B325" s="14">
        <f>IF(C325&lt;=Parametry!$C$6,DATE(Parametry!$C$12+INT((Parametry!$C$13+323-2)/12),MOD(Parametry!$C$13+323-2,12)+1,Parametry!$C$11),"")</f>
        <v/>
      </c>
      <c r="C325" s="15" t="n">
        <v>323</v>
      </c>
      <c r="D325" s="16">
        <f>IF(C325&lt;=Parametry!$C$6,L324,0)</f>
        <v/>
      </c>
      <c r="E325" s="17">
        <f>IF(OR(D325&lt;=0,C325&gt;Parametry!$C$6),0,IF(C325&lt;=Parametry!$C$9+1,Parametry!$C$8,Parametry!$C$10))</f>
        <v/>
      </c>
      <c r="F325" s="16">
        <f>IF(D325&lt;=0,0,ROUND(D325*E325/12,2))</f>
        <v/>
      </c>
      <c r="G325" s="16">
        <f>IF(OR(D325&lt;=0,C325&gt;Parametry!$C$6),0,MIN(IF(C325&lt;=Parametry!$C$9+1,Parametry!$C$7,Parametry!$C$14),ROUND(D325+F325,2)))</f>
        <v/>
      </c>
      <c r="H325" s="18" t="n"/>
      <c r="I325" s="19">
        <f>IF(OR(L325&lt;=0,C325&gt;=Parametry!$C$6),0,INDEX(G:G,ROW()+1))</f>
        <v/>
      </c>
      <c r="J325" s="20">
        <f>IF(D325&lt;=0,0,MIN(G325+N(H325),ROUND(D325+F325,2)))</f>
        <v/>
      </c>
      <c r="K325" s="16">
        <f>IF(J325&lt;=0,0,ROUND(MAX(0,J325-F325),2))</f>
        <v/>
      </c>
      <c r="L325" s="20">
        <f>IF(D325&lt;=0,0,ROUND(MAX(0,D325-K325),2))</f>
        <v/>
      </c>
      <c r="M325" s="21">
        <f>IF(L325&lt;=0,0,IFERROR(MATCH(TRUE,INDEX(L325:L327&lt;=0,0),0),3))</f>
        <v/>
      </c>
    </row>
    <row r="326" ht="18" customHeight="1">
      <c r="A326" s="22" t="n">
        <v>324</v>
      </c>
      <c r="B326" s="23">
        <f>IF(C326&lt;=Parametry!$C$6,DATE(Parametry!$C$12+INT((Parametry!$C$13+324-2)/12),MOD(Parametry!$C$13+324-2,12)+1,Parametry!$C$11),"")</f>
        <v/>
      </c>
      <c r="C326" s="24" t="n">
        <v>324</v>
      </c>
      <c r="D326" s="25">
        <f>IF(C326&lt;=Parametry!$C$6,L325,0)</f>
        <v/>
      </c>
      <c r="E326" s="26">
        <f>IF(OR(D326&lt;=0,C326&gt;Parametry!$C$6),0,IF(C326&lt;=Parametry!$C$9+1,Parametry!$C$8,Parametry!$C$10))</f>
        <v/>
      </c>
      <c r="F326" s="25">
        <f>IF(D326&lt;=0,0,ROUND(D326*E326/12,2))</f>
        <v/>
      </c>
      <c r="G326" s="25">
        <f>IF(OR(D326&lt;=0,C326&gt;Parametry!$C$6),0,MIN(IF(C326&lt;=Parametry!$C$9+1,Parametry!$C$7,Parametry!$C$14),ROUND(D326+F326,2)))</f>
        <v/>
      </c>
      <c r="H326" s="18" t="n"/>
      <c r="I326" s="19">
        <f>IF(OR(L326&lt;=0,C326&gt;=Parametry!$C$6),0,INDEX(G:G,ROW()+1))</f>
        <v/>
      </c>
      <c r="J326" s="27">
        <f>IF(D326&lt;=0,0,MIN(G326+N(H326),ROUND(D326+F326,2)))</f>
        <v/>
      </c>
      <c r="K326" s="25">
        <f>IF(J326&lt;=0,0,ROUND(MAX(0,J326-F326),2))</f>
        <v/>
      </c>
      <c r="L326" s="27">
        <f>IF(D326&lt;=0,0,ROUND(MAX(0,D326-K326),2))</f>
        <v/>
      </c>
      <c r="M326" s="28">
        <f>IF(L326&lt;=0,0,IFERROR(MATCH(TRUE,INDEX(L326:L327&lt;=0,0),0),2))</f>
        <v/>
      </c>
    </row>
    <row r="327" ht="18" customHeight="1">
      <c r="A327" s="13" t="n">
        <v>325</v>
      </c>
      <c r="B327" s="14">
        <f>IF(C327&lt;=Parametry!$C$6,DATE(Parametry!$C$12+INT((Parametry!$C$13+325-2)/12),MOD(Parametry!$C$13+325-2,12)+1,Parametry!$C$11),"")</f>
        <v/>
      </c>
      <c r="C327" s="15" t="n">
        <v>325</v>
      </c>
      <c r="D327" s="16">
        <f>IF(C327&lt;=Parametry!$C$6,L326,0)</f>
        <v/>
      </c>
      <c r="E327" s="17">
        <f>IF(OR(D327&lt;=0,C327&gt;Parametry!$C$6),0,IF(C327&lt;=Parametry!$C$9+1,Parametry!$C$8,Parametry!$C$10))</f>
        <v/>
      </c>
      <c r="F327" s="16">
        <f>IF(D327&lt;=0,0,ROUND(D327*E327/12,2))</f>
        <v/>
      </c>
      <c r="G327" s="16">
        <f>IF(OR(D327&lt;=0,C327&gt;Parametry!$C$6),0,MIN(IF(C327&lt;=Parametry!$C$9+1,Parametry!$C$7,Parametry!$C$14),ROUND(D327+F327,2)))</f>
        <v/>
      </c>
      <c r="H327" s="18" t="n"/>
      <c r="I327" s="19">
        <f>IF(OR(L327&lt;=0,C327&gt;=Parametry!$C$6),0,INDEX(G:G,ROW()+1))</f>
        <v/>
      </c>
      <c r="J327" s="20">
        <f>IF(D327&lt;=0,0,MIN(G327+N(H327),ROUND(D327+F327,2)))</f>
        <v/>
      </c>
      <c r="K327" s="16">
        <f>IF(J327&lt;=0,0,ROUND(MAX(0,J327-F327),2))</f>
        <v/>
      </c>
      <c r="L327" s="20">
        <f>IF(D327&lt;=0,0,ROUND(MAX(0,D327-K327),2))</f>
        <v/>
      </c>
      <c r="M327" s="21">
        <f>IF(L327&lt;=0,0,IFERROR(MATCH(TRUE,INDEX(L327:L327&lt;=0,0),0),1))</f>
        <v/>
      </c>
    </row>
  </sheetData>
  <mergeCells count="1">
    <mergeCell ref="A1:M1"/>
  </mergeCells>
  <conditionalFormatting sqref="E3:E327">
    <cfRule type="cellIs" priority="1" operator="greaterThan" dxfId="0">
      <formula>0.058</formula>
    </cfRule>
  </conditionalFormatting>
  <conditionalFormatting sqref="H3:H327">
    <cfRule type="expression" priority="2" dxfId="1">
      <formula>NOT(ISBLANK(H3))</formula>
    </cfRule>
  </conditionalFormatting>
  <dataValidations count="1">
    <dataValidation sqref="H3:H327" showDropDown="0" showInputMessage="0" showErrorMessage="0" allowBlank="1" errorTitle="Za mała nadpłata" error="Nadpłata powinna być pusta albo nie mniejsza niż sugerowana nadpłata." promptTitle="Nadpłata" prompt="Wpisz kwotę nadpłaty nie mniejszą niż sugerowana nadpłata lub zostaw pole puste." type="decimal" operator="greaterThanOrEqual">
      <formula1>I3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22" customWidth="1" min="3" max="3"/>
    <col width="22" customWidth="1" min="4" max="4"/>
  </cols>
  <sheetData>
    <row r="1" ht="10" customHeight="1"/>
    <row r="2" ht="36" customHeight="1">
      <c r="B2" s="29" t="inlineStr">
        <is>
          <t>PODSUMOWANIE SPŁATY KREDYTU</t>
        </is>
      </c>
      <c r="C2" s="2" t="n"/>
      <c r="D2" s="3" t="n"/>
    </row>
    <row r="3" ht="8" customHeight="1"/>
    <row r="4" ht="24" customHeight="1">
      <c r="B4" s="30" t="inlineStr">
        <is>
          <t>BEZ NADPŁAT</t>
        </is>
      </c>
      <c r="C4" s="2" t="n"/>
      <c r="D4" s="3" t="n"/>
    </row>
    <row r="5" ht="22" customHeight="1">
      <c r="B5" s="31" t="inlineStr">
        <is>
          <t>Suma odsetek z harmonogramu (ogółem)</t>
        </is>
      </c>
      <c r="C5" s="32">
        <f>SUMPRODUCT(Harmonogram!F3:F327)</f>
        <v/>
      </c>
    </row>
    <row r="6" ht="22" customHeight="1">
      <c r="B6" s="31" t="inlineStr">
        <is>
          <t>Całkowita kwota spłat (kapitał + odsetki + nadpłaty)</t>
        </is>
      </c>
      <c r="C6" s="32">
        <f>SUMPRODUCT(Harmonogram!J3:J327)</f>
        <v/>
      </c>
    </row>
    <row r="7" ht="22" customHeight="1">
      <c r="B7" s="31" t="inlineStr">
        <is>
          <t>Suma nadpłat wpisanych</t>
        </is>
      </c>
      <c r="C7" s="32">
        <f>SUMIF(Harmonogram!H3:H327,"&gt;"&amp;0,Harmonogram!H3:H327)</f>
        <v/>
      </c>
    </row>
    <row r="8" ht="8" customHeight="1"/>
    <row r="9" ht="24" customHeight="1">
      <c r="B9" s="30" t="inlineStr">
        <is>
          <t>OSZCZĘDNOŚCI DZIĘKI NADPŁATOM</t>
        </is>
      </c>
      <c r="C9" s="2" t="n"/>
      <c r="D9" s="3" t="n"/>
    </row>
    <row r="10" ht="22" customHeight="1">
      <c r="B10" s="31" t="inlineStr">
        <is>
          <t>Ostatnia rata z nadpłatami (numer raty w harmonogramie)</t>
        </is>
      </c>
      <c r="C10" s="33">
        <f>IFERROR(MATCH(TRUE,INDEX(Harmonogram!L3:L327&lt;=0,),0),Parametry!$C$6)</f>
        <v/>
      </c>
      <c r="D10" s="34" t="inlineStr">
        <is>
          <t>* Jeśli brak nadpłat, pokazuje ostatnią ratę z tabeli</t>
        </is>
      </c>
    </row>
    <row r="11" ht="22" customHeight="1">
      <c r="B11" s="31" t="inlineStr">
        <is>
          <t>Liczba rat bez nadpłat (parametr)</t>
        </is>
      </c>
      <c r="C11" s="35">
        <f>Parametry!$C$6</f>
        <v/>
      </c>
    </row>
    <row r="12" ht="22" customHeight="1">
      <c r="B12" s="31" t="inlineStr">
        <is>
          <t>Liczba rat skrócona dzięki nadpłatom</t>
        </is>
      </c>
      <c r="C12" s="33">
        <f>MAX(0,C11-C10)</f>
        <v/>
      </c>
    </row>
    <row r="13" ht="22" customHeight="1">
      <c r="B13" s="31" t="inlineStr">
        <is>
          <t>Data ostatecznej spłaty (z nadpłatami)</t>
        </is>
      </c>
      <c r="C13" s="36">
        <f>DATE(Parametry!$C$12+INT((Parametry!$C$13+C10-2)/12),MOD(Parametry!$C$13+C10-2,12)+1,Parametry!$C$11)</f>
        <v/>
      </c>
    </row>
    <row r="14" ht="22" customHeight="1">
      <c r="B14" s="31" t="inlineStr">
        <is>
          <t>Data ostatecznej spłaty (bez nadpłat)</t>
        </is>
      </c>
      <c r="C14" s="37">
        <f>DATE(Parametry!$C$12+INT((Parametry!$C$13+Parametry!$C$6-2)/12),MOD(Parametry!$C$13+Parametry!$C$6-2,12)+1,Parametry!$C$11)</f>
        <v/>
      </c>
    </row>
    <row r="15" ht="8" customHeight="1"/>
    <row r="16" ht="24" customHeight="1">
      <c r="B16" s="30" t="inlineStr">
        <is>
          <t>SZACOWANE ODSETKI – PORÓWNANIE</t>
        </is>
      </c>
      <c r="C16" s="2" t="n"/>
      <c r="D16" s="3" t="n"/>
    </row>
    <row r="17" ht="22" customHeight="1">
      <c r="B17" s="31" t="inlineStr">
        <is>
          <t>Teoretyczne odsetki bez nadpłat (annuity)</t>
        </is>
      </c>
      <c r="C17" s="32">
        <f>SUMPRODUCT(Harmonogram!G3:G327)-Parametry!$C$5</f>
        <v/>
      </c>
    </row>
    <row r="18" ht="22" customHeight="1">
      <c r="B18" s="31" t="inlineStr">
        <is>
          <t>Rzeczywiste odsetki z harmonogramu</t>
        </is>
      </c>
      <c r="C18" s="32">
        <f>C5</f>
        <v/>
      </c>
    </row>
    <row r="19" ht="22" customHeight="1">
      <c r="B19" s="31" t="inlineStr">
        <is>
          <t>Oszczędność na odsetkach (szacunek)</t>
        </is>
      </c>
      <c r="C19" s="38">
        <f>MAX(0,C17-C18)</f>
        <v/>
      </c>
    </row>
  </sheetData>
  <mergeCells count="4">
    <mergeCell ref="B16:D16"/>
    <mergeCell ref="B9:D9"/>
    <mergeCell ref="B2:D2"/>
    <mergeCell ref="B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2026-07-22T10:04:24Z</dcterms:created>
  <dcterms:modified xsi:type="dcterms:W3CDTF">2026-07-22T13:40:27Z</dcterms:modified>
</cp:coreProperties>
</file>