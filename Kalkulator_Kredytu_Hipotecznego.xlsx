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y" sheetId="1" state="visible" r:id="rId1"/>
    <sheet name="Harmonogram" sheetId="2" state="visible" r:id="rId2"/>
    <sheet name="Podsumowani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\ &quot;zł&quot;"/>
    <numFmt numFmtId="165" formatCode="DD.MM.YYYY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2"/>
    </font>
    <font>
      <name val="Calibri"/>
      <sz val="11"/>
    </font>
    <font>
      <name val="Calibri"/>
      <color rgb="00000000"/>
      <sz val="11"/>
    </font>
    <font>
      <name val="Calibri"/>
      <i val="1"/>
      <color rgb="00595959"/>
      <sz val="9"/>
    </font>
    <font>
      <name val="Calibri"/>
      <sz val="10"/>
    </font>
    <font>
      <name val="Calibri"/>
      <b val="1"/>
      <color rgb="00FFFFFF"/>
      <sz val="14"/>
    </font>
    <font>
      <name val="Calibri"/>
      <b val="1"/>
      <color rgb="00FFFFFF"/>
      <sz val="9"/>
    </font>
    <font>
      <name val="Calibri"/>
      <color rgb="00595959"/>
      <sz val="9"/>
    </font>
    <font>
      <name val="Calibri"/>
      <sz val="9"/>
    </font>
    <font>
      <name val="Calibri"/>
      <b val="1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i val="1"/>
      <color rgb="00595959"/>
      <sz val="8"/>
    </font>
    <font>
      <name val="Calibri"/>
      <b val="1"/>
      <color rgb="00000000"/>
      <sz val="11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FFFF99"/>
      </patternFill>
    </fill>
    <fill>
      <patternFill patternType="solid">
        <fgColor rgb="00BDD7EE"/>
      </patternFill>
    </fill>
    <fill>
      <patternFill patternType="solid">
        <fgColor rgb="00FFFFFF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/>
    </xf>
    <xf numFmtId="164" fontId="4" fillId="5" borderId="1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 wrapText="1"/>
    </xf>
    <xf numFmtId="1" fontId="4" fillId="5" borderId="1" applyAlignment="1" pivotButton="0" quotePrefix="0" xfId="0">
      <alignment horizontal="right" vertical="center"/>
    </xf>
    <xf numFmtId="10" fontId="4" fillId="5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/>
    </xf>
    <xf numFmtId="165" fontId="10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164" fontId="10" fillId="7" borderId="1" applyAlignment="1" pivotButton="0" quotePrefix="0" xfId="0">
      <alignment horizontal="right" vertical="center"/>
    </xf>
    <xf numFmtId="10" fontId="10" fillId="7" borderId="1" applyAlignment="1" pivotButton="0" quotePrefix="0" xfId="0">
      <alignment horizontal="center" vertical="center"/>
    </xf>
    <xf numFmtId="164" fontId="10" fillId="8" borderId="6" applyAlignment="1" pivotButton="0" quotePrefix="0" xfId="0">
      <alignment horizontal="right" vertical="center"/>
    </xf>
    <xf numFmtId="164" fontId="5" fillId="9" borderId="1" applyAlignment="1" pivotButton="0" quotePrefix="0" xfId="0">
      <alignment horizontal="right" vertical="center"/>
    </xf>
    <xf numFmtId="164" fontId="11" fillId="7" borderId="1" applyAlignment="1" pivotButton="0" quotePrefix="0" xfId="0">
      <alignment horizontal="right" vertical="center"/>
    </xf>
    <xf numFmtId="1" fontId="10" fillId="7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5" fontId="10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164" fontId="10" fillId="4" borderId="1" applyAlignment="1" pivotButton="0" quotePrefix="0" xfId="0">
      <alignment horizontal="right" vertical="center"/>
    </xf>
    <xf numFmtId="10" fontId="10" fillId="4" borderId="1" applyAlignment="1" pivotButton="0" quotePrefix="0" xfId="0">
      <alignment horizontal="center" vertical="center"/>
    </xf>
    <xf numFmtId="164" fontId="11" fillId="4" borderId="1" applyAlignment="1" pivotButton="0" quotePrefix="0" xfId="0">
      <alignment horizontal="right" vertical="center"/>
    </xf>
    <xf numFmtId="1" fontId="10" fillId="4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164" fontId="6" fillId="7" borderId="1" applyAlignment="1" pivotButton="0" quotePrefix="0" xfId="0">
      <alignment horizontal="right" vertical="center"/>
    </xf>
    <xf numFmtId="1" fontId="13" fillId="9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 wrapText="1"/>
    </xf>
    <xf numFmtId="1" fontId="6" fillId="7" borderId="1" applyAlignment="1" pivotButton="0" quotePrefix="0" xfId="0">
      <alignment horizontal="right" vertical="center"/>
    </xf>
    <xf numFmtId="165" fontId="13" fillId="9" borderId="1" applyAlignment="1" pivotButton="0" quotePrefix="0" xfId="0">
      <alignment horizontal="right" vertical="center"/>
    </xf>
    <xf numFmtId="165" fontId="6" fillId="7" borderId="1" applyAlignment="1" pivotButton="0" quotePrefix="0" xfId="0">
      <alignment horizontal="right" vertical="center"/>
    </xf>
    <xf numFmtId="164" fontId="13" fillId="9" borderId="1" applyAlignment="1" pivotButton="0" quotePrefix="0" xfId="0">
      <alignment horizontal="right" vertical="center"/>
    </xf>
    <xf numFmtId="164" fontId="15" fillId="9" borderId="1" applyAlignment="1" pivotButton="0" quotePrefix="0" xfId="0">
      <alignment horizontal="right" vertical="center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22" customWidth="1" min="3" max="3"/>
    <col width="18" customWidth="1" min="4" max="4"/>
  </cols>
  <sheetData>
    <row r="1" ht="10" customHeight="1"/>
    <row r="2" ht="36" customHeight="1">
      <c r="B2" s="1" t="inlineStr">
        <is>
          <t>🏠  KALKULATOR KREDYTU HIPOTECZNEGO</t>
        </is>
      </c>
      <c r="C2" s="2" t="n"/>
      <c r="D2" s="3" t="n"/>
    </row>
    <row r="3" ht="8" customHeight="1"/>
    <row r="4" ht="24" customHeight="1">
      <c r="B4" s="4" t="inlineStr">
        <is>
          <t>PARAMETRY KREDYTU</t>
        </is>
      </c>
      <c r="C4" s="2" t="n"/>
      <c r="D4" s="3" t="n"/>
    </row>
    <row r="5" ht="22" customHeight="1">
      <c r="B5" s="5" t="inlineStr">
        <is>
          <t>Pozostała kwota do spłaty (saldo)</t>
        </is>
      </c>
      <c r="C5" s="6" t="n">
        <v>533693.01</v>
      </c>
      <c r="D5" s="7" t="inlineStr">
        <is>
          <t>Edytuj → aktualizuje harmonogram</t>
        </is>
      </c>
    </row>
    <row r="6" ht="22" customHeight="1">
      <c r="B6" s="5" t="inlineStr">
        <is>
          <t>Liczba pozostałych rat</t>
        </is>
      </c>
      <c r="C6" s="8" t="n">
        <v>323</v>
      </c>
      <c r="D6" s="7" t="inlineStr">
        <is>
          <t>Edytuj → aktualizuje harmonogram</t>
        </is>
      </c>
    </row>
    <row r="7" ht="22" customHeight="1">
      <c r="B7" s="5" t="inlineStr">
        <is>
          <t>Rata miesięczna (wyliczana)</t>
        </is>
      </c>
      <c r="C7" s="39">
        <f>ROUND(-PMT(C8/12,C6,C5),2)</f>
        <v/>
      </c>
      <c r="D7" s="7" t="inlineStr">
        <is>
          <t>Wyliczana automatycznie z salda, oprocentowania i liczby rat</t>
        </is>
      </c>
    </row>
    <row r="8" ht="22" customHeight="1">
      <c r="B8" s="5" t="inlineStr">
        <is>
          <t>Oprocentowanie I okres (%)</t>
        </is>
      </c>
      <c r="C8" s="9" t="n">
        <v>0.0579</v>
      </c>
      <c r="D8" s="7" t="inlineStr">
        <is>
          <t>np. 5,79% wpisz jako 0.0579</t>
        </is>
      </c>
    </row>
    <row r="9" ht="22" customHeight="1">
      <c r="B9" s="5" t="inlineStr">
        <is>
          <t>Liczba rat w I okresie oprocentowania</t>
        </is>
      </c>
      <c r="C9" s="8" t="n">
        <v>58</v>
      </c>
      <c r="D9" s="7" t="inlineStr">
        <is>
          <t>Po tylu ratach zmiana stopy</t>
        </is>
      </c>
    </row>
    <row r="10" ht="22" customHeight="1">
      <c r="B10" s="5" t="inlineStr">
        <is>
          <t>Oprocentowanie II okres (%)</t>
        </is>
      </c>
      <c r="C10" s="9" t="n">
        <v>0.06</v>
      </c>
      <c r="D10" s="7" t="inlineStr">
        <is>
          <t>Stopa po zmianie</t>
        </is>
      </c>
    </row>
    <row r="11" ht="22" customHeight="1">
      <c r="B11" s="5" t="inlineStr">
        <is>
          <t>Dzień spłaty (dzień miesiąca)</t>
        </is>
      </c>
      <c r="C11" s="8" t="n">
        <v>19</v>
      </c>
      <c r="D11" s="7" t="inlineStr">
        <is>
          <t>19 = 19. dzień miesiąca</t>
        </is>
      </c>
    </row>
    <row r="12" ht="22" customHeight="1">
      <c r="B12" s="5" t="inlineStr">
        <is>
          <t>Rok startowy</t>
        </is>
      </c>
      <c r="C12" s="8" t="n">
        <v>2026</v>
      </c>
      <c r="D12" s="7" t="inlineStr">
        <is>
          <t>Rok pierwszej raty</t>
        </is>
      </c>
    </row>
    <row r="13" ht="22" customHeight="1">
      <c r="B13" s="5" t="inlineStr">
        <is>
          <t>Miesiąc startowy (1-12)</t>
        </is>
      </c>
      <c r="C13" s="8" t="n">
        <v>7</v>
      </c>
      <c r="D13" s="7" t="inlineStr">
        <is>
          <t>7 = lipiec</t>
        </is>
      </c>
    </row>
    <row r="14" ht="8" customHeight="1"/>
    <row r="15" ht="24" customHeight="1">
      <c r="B15" s="4" t="inlineStr">
        <is>
          <t>JAK KORZYSTAĆ Z ARKUSZA</t>
        </is>
      </c>
      <c r="C15" s="2" t="n"/>
      <c r="D15" s="3" t="n"/>
    </row>
    <row r="16" ht="20" customHeight="1">
      <c r="B16" s="10" t="inlineStr">
        <is>
          <t>1. Sprawdź / edytuj parametry w żółtych polach powyżej.</t>
        </is>
      </c>
      <c r="C16" s="2" t="n"/>
      <c r="D16" s="3" t="n"/>
    </row>
    <row r="17" ht="20" customHeight="1">
      <c r="B17" s="10" t="inlineStr">
        <is>
          <t>2. Przejdź do arkusza 'Harmonogram'.</t>
        </is>
      </c>
      <c r="C17" s="2" t="n"/>
      <c r="D17" s="3" t="n"/>
    </row>
    <row r="18" ht="20" customHeight="1">
      <c r="B18" s="10" t="inlineStr">
        <is>
          <t>3. W kolumnie 'NADPŁATA (wpisz)' wpisz kwotę nadpłaty dla danego miesiąca.</t>
        </is>
      </c>
      <c r="C18" s="2" t="n"/>
      <c r="D18" s="3" t="n"/>
    </row>
    <row r="19" ht="20" customHeight="1">
      <c r="B19" s="10" t="inlineStr">
        <is>
          <t>4. Minimalna zalecana nadpłata = wysokość następnej raty (kolumna 'Sug. nadpłata').</t>
        </is>
      </c>
      <c r="C19" s="2" t="n"/>
      <c r="D19" s="3" t="n"/>
    </row>
    <row r="20" ht="20" customHeight="1">
      <c r="B20" s="10" t="inlineStr">
        <is>
          <t>5. Wszystkie pozostałe obliczenia aktualizują się automatycznie.</t>
        </is>
      </c>
      <c r="C20" s="2" t="n"/>
      <c r="D20" s="3" t="n"/>
    </row>
    <row r="21" ht="20" customHeight="1">
      <c r="B21" s="10" t="inlineStr">
        <is>
          <t>6. W arkuszu 'Podsumowanie' zobaczysz oszczędności i skrócenie okresu kredytu.</t>
        </is>
      </c>
      <c r="C21" s="2" t="n"/>
      <c r="D21" s="3" t="n"/>
    </row>
  </sheetData>
  <mergeCells count="9">
    <mergeCell ref="B19:D19"/>
    <mergeCell ref="B4:D4"/>
    <mergeCell ref="B17:D17"/>
    <mergeCell ref="B18:D18"/>
    <mergeCell ref="B2:D2"/>
    <mergeCell ref="B21:D21"/>
    <mergeCell ref="B15:D15"/>
    <mergeCell ref="B16:D16"/>
    <mergeCell ref="B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13" customWidth="1" min="2" max="2"/>
    <col width="7" customWidth="1" min="3" max="3"/>
    <col width="18" customWidth="1" min="4" max="4"/>
    <col width="9" customWidth="1" min="5" max="5"/>
    <col width="14" customWidth="1" min="6" max="6"/>
    <col width="13" customWidth="1" min="7" max="7"/>
    <col width="16" customWidth="1" min="8" max="8"/>
    <col width="16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28" customHeight="1">
      <c r="A1" s="11" t="inlineStr">
        <is>
          <t>HARMONOGRAM SPŁATY KREDYTU HIPOTECZNEGO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6" customHeight="1">
      <c r="A2" s="12" t="inlineStr">
        <is>
          <t>Lp.</t>
        </is>
      </c>
      <c r="B2" s="12" t="inlineStr">
        <is>
          <t>DATA
SPŁATY</t>
        </is>
      </c>
      <c r="C2" s="12" t="inlineStr">
        <is>
          <t>NR
RATY</t>
        </is>
      </c>
      <c r="D2" s="12" t="inlineStr">
        <is>
          <t>SALDO
POCZĄTEK</t>
        </is>
      </c>
      <c r="E2" s="12" t="inlineStr">
        <is>
          <t>OPROCENT.</t>
        </is>
      </c>
      <c r="F2" s="12" t="inlineStr">
        <is>
          <t>ODSETKI</t>
        </is>
      </c>
      <c r="G2" s="12" t="inlineStr">
        <is>
          <t>RATA
STANDARD.</t>
        </is>
      </c>
      <c r="H2" s="12" t="inlineStr">
        <is>
          <t>NADPŁATA
(wpisz)</t>
        </is>
      </c>
      <c r="I2" s="12" t="inlineStr">
        <is>
          <t>SUG.
NADPŁATA</t>
        </is>
      </c>
      <c r="J2" s="12" t="inlineStr">
        <is>
          <t>CAŁK.
SPŁATA</t>
        </is>
      </c>
      <c r="K2" s="12" t="inlineStr">
        <is>
          <t>KAPITAŁ</t>
        </is>
      </c>
      <c r="L2" s="12" t="inlineStr">
        <is>
          <t>SALDO
KONIEC</t>
        </is>
      </c>
      <c r="M2" s="12" t="inlineStr">
        <is>
          <t>POZ.
RAT</t>
        </is>
      </c>
    </row>
    <row r="3" ht="18" customHeight="1">
      <c r="A3" s="13" t="n">
        <v>1</v>
      </c>
      <c r="B3" s="14">
        <f>IF(C3&lt;=Parametry!$C$6,DATE(Parametry!$C$12+INT((Parametry!$C$13+1-2)/12),MOD(Parametry!$C$13+1-2,12)+1,Parametry!$C$11),"")</f>
        <v/>
      </c>
      <c r="C3" s="15" t="n">
        <v>1</v>
      </c>
      <c r="D3" s="16">
        <f>IF(C3&lt;=Parametry!$C$6,Parametry!$C$5,0)</f>
        <v/>
      </c>
      <c r="E3" s="17">
        <f>IF(OR(D3&lt;=0,C3&gt;Parametry!$C$6),0,IF(C3&lt;=Parametry!$C$9,Parametry!$C$8,Parametry!$C$10))</f>
        <v/>
      </c>
      <c r="F3" s="16">
        <f>IF(D3&lt;=0,0,D3*E3/12)</f>
        <v/>
      </c>
      <c r="G3" s="16">
        <f>IF(OR(D3&lt;=0,C3&gt;Parametry!$C$6),0,ROUND(-PMT(E3/12,MAX(1,Parametry!$C$6-C3+1),D3),2))</f>
        <v/>
      </c>
      <c r="H3" s="18" t="n"/>
      <c r="I3" s="19">
        <f>IF(OR(L3&lt;=0,C3&gt;=Parametry!$C$6),0,ROUND(-PMT(IF(C3+1&lt;=Parametry!$C$9,Parametry!$C$8,Parametry!$C$10)/12,MAX(1,Parametry!$C$6-C3),L3),2))</f>
        <v/>
      </c>
      <c r="J3" s="20">
        <f>IF(D3&lt;=0,0,MIN(G3+N(H3),D3+F3))</f>
        <v/>
      </c>
      <c r="K3" s="16">
        <f>IF(J3&lt;=0,0,MAX(0,J3-F3))</f>
        <v/>
      </c>
      <c r="L3" s="20">
        <f>IF(D3&lt;=0,0,MAX(0,D3-K3))</f>
        <v/>
      </c>
      <c r="M3" s="21">
        <f>IF(OR(L3&lt;=0,G3&lt;=L3*E3/12),0,MAX(0,ROUNDUP(-LN(1-L3*(E3/12)/G3)/LN(1+E3/12),0)))</f>
        <v/>
      </c>
    </row>
    <row r="4" ht="18" customHeight="1">
      <c r="A4" s="22" t="n">
        <v>2</v>
      </c>
      <c r="B4" s="23">
        <f>IF(C4&lt;=Parametry!$C$6,DATE(Parametry!$C$12+INT((Parametry!$C$13+2-2)/12),MOD(Parametry!$C$13+2-2,12)+1,Parametry!$C$11),"")</f>
        <v/>
      </c>
      <c r="C4" s="24" t="n">
        <v>2</v>
      </c>
      <c r="D4" s="25">
        <f>IF(C4&lt;=Parametry!$C$6,L3,0)</f>
        <v/>
      </c>
      <c r="E4" s="26">
        <f>IF(OR(D4&lt;=0,C4&gt;Parametry!$C$6),0,IF(C4&lt;=Parametry!$C$9,Parametry!$C$8,Parametry!$C$10))</f>
        <v/>
      </c>
      <c r="F4" s="25">
        <f>IF(D4&lt;=0,0,D4*E4/12)</f>
        <v/>
      </c>
      <c r="G4" s="25">
        <f>IF(OR(D4&lt;=0,C4&gt;Parametry!$C$6),0,ROUND(-PMT(E4/12,MAX(1,Parametry!$C$6-C4+1),D4),2))</f>
        <v/>
      </c>
      <c r="H4" s="18" t="n"/>
      <c r="I4" s="19">
        <f>IF(OR(L4&lt;=0,C4&gt;=Parametry!$C$6),0,ROUND(-PMT(IF(C4+1&lt;=Parametry!$C$9,Parametry!$C$8,Parametry!$C$10)/12,MAX(1,Parametry!$C$6-C4),L4),2))</f>
        <v/>
      </c>
      <c r="J4" s="27">
        <f>IF(D4&lt;=0,0,MIN(G4+N(H4),D4+F4))</f>
        <v/>
      </c>
      <c r="K4" s="25">
        <f>IF(J4&lt;=0,0,MAX(0,J4-F4))</f>
        <v/>
      </c>
      <c r="L4" s="27">
        <f>IF(D4&lt;=0,0,MAX(0,D4-K4))</f>
        <v/>
      </c>
      <c r="M4" s="28">
        <f>IF(OR(L4&lt;=0,G4&lt;=L4*E4/12),0,MAX(0,ROUNDUP(-LN(1-L4*(E4/12)/G4)/LN(1+E4/12),0)))</f>
        <v/>
      </c>
    </row>
    <row r="5" ht="18" customHeight="1">
      <c r="A5" s="13" t="n">
        <v>3</v>
      </c>
      <c r="B5" s="14">
        <f>IF(C5&lt;=Parametry!$C$6,DATE(Parametry!$C$12+INT((Parametry!$C$13+3-2)/12),MOD(Parametry!$C$13+3-2,12)+1,Parametry!$C$11),"")</f>
        <v/>
      </c>
      <c r="C5" s="15" t="n">
        <v>3</v>
      </c>
      <c r="D5" s="16">
        <f>IF(C5&lt;=Parametry!$C$6,L4,0)</f>
        <v/>
      </c>
      <c r="E5" s="17">
        <f>IF(OR(D5&lt;=0,C5&gt;Parametry!$C$6),0,IF(C5&lt;=Parametry!$C$9,Parametry!$C$8,Parametry!$C$10))</f>
        <v/>
      </c>
      <c r="F5" s="16">
        <f>IF(D5&lt;=0,0,D5*E5/12)</f>
        <v/>
      </c>
      <c r="G5" s="16">
        <f>IF(OR(D5&lt;=0,C5&gt;Parametry!$C$6),0,ROUND(-PMT(E5/12,MAX(1,Parametry!$C$6-C5+1),D5),2))</f>
        <v/>
      </c>
      <c r="H5" s="18" t="n"/>
      <c r="I5" s="19">
        <f>IF(OR(L5&lt;=0,C5&gt;=Parametry!$C$6),0,ROUND(-PMT(IF(C5+1&lt;=Parametry!$C$9,Parametry!$C$8,Parametry!$C$10)/12,MAX(1,Parametry!$C$6-C5),L5),2))</f>
        <v/>
      </c>
      <c r="J5" s="20">
        <f>IF(D5&lt;=0,0,MIN(G5+N(H5),D5+F5))</f>
        <v/>
      </c>
      <c r="K5" s="16">
        <f>IF(J5&lt;=0,0,MAX(0,J5-F5))</f>
        <v/>
      </c>
      <c r="L5" s="20">
        <f>IF(D5&lt;=0,0,MAX(0,D5-K5))</f>
        <v/>
      </c>
      <c r="M5" s="21">
        <f>IF(OR(L5&lt;=0,G5&lt;=L5*E5/12),0,MAX(0,ROUNDUP(-LN(1-L5*(E5/12)/G5)/LN(1+E5/12),0)))</f>
        <v/>
      </c>
    </row>
    <row r="6" ht="18" customHeight="1">
      <c r="A6" s="22" t="n">
        <v>4</v>
      </c>
      <c r="B6" s="23">
        <f>IF(C6&lt;=Parametry!$C$6,DATE(Parametry!$C$12+INT((Parametry!$C$13+4-2)/12),MOD(Parametry!$C$13+4-2,12)+1,Parametry!$C$11),"")</f>
        <v/>
      </c>
      <c r="C6" s="24" t="n">
        <v>4</v>
      </c>
      <c r="D6" s="25">
        <f>IF(C6&lt;=Parametry!$C$6,L5,0)</f>
        <v/>
      </c>
      <c r="E6" s="26">
        <f>IF(OR(D6&lt;=0,C6&gt;Parametry!$C$6),0,IF(C6&lt;=Parametry!$C$9,Parametry!$C$8,Parametry!$C$10))</f>
        <v/>
      </c>
      <c r="F6" s="25">
        <f>IF(D6&lt;=0,0,D6*E6/12)</f>
        <v/>
      </c>
      <c r="G6" s="25">
        <f>IF(OR(D6&lt;=0,C6&gt;Parametry!$C$6),0,ROUND(-PMT(E6/12,MAX(1,Parametry!$C$6-C6+1),D6),2))</f>
        <v/>
      </c>
      <c r="H6" s="18" t="n"/>
      <c r="I6" s="19">
        <f>IF(OR(L6&lt;=0,C6&gt;=Parametry!$C$6),0,ROUND(-PMT(IF(C6+1&lt;=Parametry!$C$9,Parametry!$C$8,Parametry!$C$10)/12,MAX(1,Parametry!$C$6-C6),L6),2))</f>
        <v/>
      </c>
      <c r="J6" s="27">
        <f>IF(D6&lt;=0,0,MIN(G6+N(H6),D6+F6))</f>
        <v/>
      </c>
      <c r="K6" s="25">
        <f>IF(J6&lt;=0,0,MAX(0,J6-F6))</f>
        <v/>
      </c>
      <c r="L6" s="27">
        <f>IF(D6&lt;=0,0,MAX(0,D6-K6))</f>
        <v/>
      </c>
      <c r="M6" s="28">
        <f>IF(OR(L6&lt;=0,G6&lt;=L6*E6/12),0,MAX(0,ROUNDUP(-LN(1-L6*(E6/12)/G6)/LN(1+E6/12),0)))</f>
        <v/>
      </c>
    </row>
    <row r="7" ht="18" customHeight="1">
      <c r="A7" s="13" t="n">
        <v>5</v>
      </c>
      <c r="B7" s="14">
        <f>IF(C7&lt;=Parametry!$C$6,DATE(Parametry!$C$12+INT((Parametry!$C$13+5-2)/12),MOD(Parametry!$C$13+5-2,12)+1,Parametry!$C$11),"")</f>
        <v/>
      </c>
      <c r="C7" s="15" t="n">
        <v>5</v>
      </c>
      <c r="D7" s="16">
        <f>IF(C7&lt;=Parametry!$C$6,L6,0)</f>
        <v/>
      </c>
      <c r="E7" s="17">
        <f>IF(OR(D7&lt;=0,C7&gt;Parametry!$C$6),0,IF(C7&lt;=Parametry!$C$9,Parametry!$C$8,Parametry!$C$10))</f>
        <v/>
      </c>
      <c r="F7" s="16">
        <f>IF(D7&lt;=0,0,D7*E7/12)</f>
        <v/>
      </c>
      <c r="G7" s="16">
        <f>IF(OR(D7&lt;=0,C7&gt;Parametry!$C$6),0,ROUND(-PMT(E7/12,MAX(1,Parametry!$C$6-C7+1),D7),2))</f>
        <v/>
      </c>
      <c r="H7" s="18" t="n"/>
      <c r="I7" s="19">
        <f>IF(OR(L7&lt;=0,C7&gt;=Parametry!$C$6),0,ROUND(-PMT(IF(C7+1&lt;=Parametry!$C$9,Parametry!$C$8,Parametry!$C$10)/12,MAX(1,Parametry!$C$6-C7),L7),2))</f>
        <v/>
      </c>
      <c r="J7" s="20">
        <f>IF(D7&lt;=0,0,MIN(G7+N(H7),D7+F7))</f>
        <v/>
      </c>
      <c r="K7" s="16">
        <f>IF(J7&lt;=0,0,MAX(0,J7-F7))</f>
        <v/>
      </c>
      <c r="L7" s="20">
        <f>IF(D7&lt;=0,0,MAX(0,D7-K7))</f>
        <v/>
      </c>
      <c r="M7" s="21">
        <f>IF(OR(L7&lt;=0,G7&lt;=L7*E7/12),0,MAX(0,ROUNDUP(-LN(1-L7*(E7/12)/G7)/LN(1+E7/12),0)))</f>
        <v/>
      </c>
    </row>
    <row r="8" ht="18" customHeight="1">
      <c r="A8" s="22" t="n">
        <v>6</v>
      </c>
      <c r="B8" s="23">
        <f>IF(C8&lt;=Parametry!$C$6,DATE(Parametry!$C$12+INT((Parametry!$C$13+6-2)/12),MOD(Parametry!$C$13+6-2,12)+1,Parametry!$C$11),"")</f>
        <v/>
      </c>
      <c r="C8" s="24" t="n">
        <v>6</v>
      </c>
      <c r="D8" s="25">
        <f>IF(C8&lt;=Parametry!$C$6,L7,0)</f>
        <v/>
      </c>
      <c r="E8" s="26">
        <f>IF(OR(D8&lt;=0,C8&gt;Parametry!$C$6),0,IF(C8&lt;=Parametry!$C$9,Parametry!$C$8,Parametry!$C$10))</f>
        <v/>
      </c>
      <c r="F8" s="25">
        <f>IF(D8&lt;=0,0,D8*E8/12)</f>
        <v/>
      </c>
      <c r="G8" s="25">
        <f>IF(OR(D8&lt;=0,C8&gt;Parametry!$C$6),0,ROUND(-PMT(E8/12,MAX(1,Parametry!$C$6-C8+1),D8),2))</f>
        <v/>
      </c>
      <c r="H8" s="18" t="n"/>
      <c r="I8" s="19">
        <f>IF(OR(L8&lt;=0,C8&gt;=Parametry!$C$6),0,ROUND(-PMT(IF(C8+1&lt;=Parametry!$C$9,Parametry!$C$8,Parametry!$C$10)/12,MAX(1,Parametry!$C$6-C8),L8),2))</f>
        <v/>
      </c>
      <c r="J8" s="27">
        <f>IF(D8&lt;=0,0,MIN(G8+N(H8),D8+F8))</f>
        <v/>
      </c>
      <c r="K8" s="25">
        <f>IF(J8&lt;=0,0,MAX(0,J8-F8))</f>
        <v/>
      </c>
      <c r="L8" s="27">
        <f>IF(D8&lt;=0,0,MAX(0,D8-K8))</f>
        <v/>
      </c>
      <c r="M8" s="28">
        <f>IF(OR(L8&lt;=0,G8&lt;=L8*E8/12),0,MAX(0,ROUNDUP(-LN(1-L8*(E8/12)/G8)/LN(1+E8/12),0)))</f>
        <v/>
      </c>
    </row>
    <row r="9" ht="18" customHeight="1">
      <c r="A9" s="13" t="n">
        <v>7</v>
      </c>
      <c r="B9" s="14">
        <f>IF(C9&lt;=Parametry!$C$6,DATE(Parametry!$C$12+INT((Parametry!$C$13+7-2)/12),MOD(Parametry!$C$13+7-2,12)+1,Parametry!$C$11),"")</f>
        <v/>
      </c>
      <c r="C9" s="15" t="n">
        <v>7</v>
      </c>
      <c r="D9" s="16">
        <f>IF(C9&lt;=Parametry!$C$6,L8,0)</f>
        <v/>
      </c>
      <c r="E9" s="17">
        <f>IF(OR(D9&lt;=0,C9&gt;Parametry!$C$6),0,IF(C9&lt;=Parametry!$C$9,Parametry!$C$8,Parametry!$C$10))</f>
        <v/>
      </c>
      <c r="F9" s="16">
        <f>IF(D9&lt;=0,0,D9*E9/12)</f>
        <v/>
      </c>
      <c r="G9" s="16">
        <f>IF(OR(D9&lt;=0,C9&gt;Parametry!$C$6),0,ROUND(-PMT(E9/12,MAX(1,Parametry!$C$6-C9+1),D9),2))</f>
        <v/>
      </c>
      <c r="H9" s="18" t="n"/>
      <c r="I9" s="19">
        <f>IF(OR(L9&lt;=0,C9&gt;=Parametry!$C$6),0,ROUND(-PMT(IF(C9+1&lt;=Parametry!$C$9,Parametry!$C$8,Parametry!$C$10)/12,MAX(1,Parametry!$C$6-C9),L9),2))</f>
        <v/>
      </c>
      <c r="J9" s="20">
        <f>IF(D9&lt;=0,0,MIN(G9+N(H9),D9+F9))</f>
        <v/>
      </c>
      <c r="K9" s="16">
        <f>IF(J9&lt;=0,0,MAX(0,J9-F9))</f>
        <v/>
      </c>
      <c r="L9" s="20">
        <f>IF(D9&lt;=0,0,MAX(0,D9-K9))</f>
        <v/>
      </c>
      <c r="M9" s="21">
        <f>IF(OR(L9&lt;=0,G9&lt;=L9*E9/12),0,MAX(0,ROUNDUP(-LN(1-L9*(E9/12)/G9)/LN(1+E9/12),0)))</f>
        <v/>
      </c>
    </row>
    <row r="10" ht="18" customHeight="1">
      <c r="A10" s="22" t="n">
        <v>8</v>
      </c>
      <c r="B10" s="23">
        <f>IF(C10&lt;=Parametry!$C$6,DATE(Parametry!$C$12+INT((Parametry!$C$13+8-2)/12),MOD(Parametry!$C$13+8-2,12)+1,Parametry!$C$11),"")</f>
        <v/>
      </c>
      <c r="C10" s="24" t="n">
        <v>8</v>
      </c>
      <c r="D10" s="25">
        <f>IF(C10&lt;=Parametry!$C$6,L9,0)</f>
        <v/>
      </c>
      <c r="E10" s="26">
        <f>IF(OR(D10&lt;=0,C10&gt;Parametry!$C$6),0,IF(C10&lt;=Parametry!$C$9,Parametry!$C$8,Parametry!$C$10))</f>
        <v/>
      </c>
      <c r="F10" s="25">
        <f>IF(D10&lt;=0,0,D10*E10/12)</f>
        <v/>
      </c>
      <c r="G10" s="25">
        <f>IF(OR(D10&lt;=0,C10&gt;Parametry!$C$6),0,ROUND(-PMT(E10/12,MAX(1,Parametry!$C$6-C10+1),D10),2))</f>
        <v/>
      </c>
      <c r="H10" s="18" t="n"/>
      <c r="I10" s="19">
        <f>IF(OR(L10&lt;=0,C10&gt;=Parametry!$C$6),0,ROUND(-PMT(IF(C10+1&lt;=Parametry!$C$9,Parametry!$C$8,Parametry!$C$10)/12,MAX(1,Parametry!$C$6-C10),L10),2))</f>
        <v/>
      </c>
      <c r="J10" s="27">
        <f>IF(D10&lt;=0,0,MIN(G10+N(H10),D10+F10))</f>
        <v/>
      </c>
      <c r="K10" s="25">
        <f>IF(J10&lt;=0,0,MAX(0,J10-F10))</f>
        <v/>
      </c>
      <c r="L10" s="27">
        <f>IF(D10&lt;=0,0,MAX(0,D10-K10))</f>
        <v/>
      </c>
      <c r="M10" s="28">
        <f>IF(OR(L10&lt;=0,G10&lt;=L10*E10/12),0,MAX(0,ROUNDUP(-LN(1-L10*(E10/12)/G10)/LN(1+E10/12),0)))</f>
        <v/>
      </c>
    </row>
    <row r="11" ht="18" customHeight="1">
      <c r="A11" s="13" t="n">
        <v>9</v>
      </c>
      <c r="B11" s="14">
        <f>IF(C11&lt;=Parametry!$C$6,DATE(Parametry!$C$12+INT((Parametry!$C$13+9-2)/12),MOD(Parametry!$C$13+9-2,12)+1,Parametry!$C$11),"")</f>
        <v/>
      </c>
      <c r="C11" s="15" t="n">
        <v>9</v>
      </c>
      <c r="D11" s="16">
        <f>IF(C11&lt;=Parametry!$C$6,L10,0)</f>
        <v/>
      </c>
      <c r="E11" s="17">
        <f>IF(OR(D11&lt;=0,C11&gt;Parametry!$C$6),0,IF(C11&lt;=Parametry!$C$9,Parametry!$C$8,Parametry!$C$10))</f>
        <v/>
      </c>
      <c r="F11" s="16">
        <f>IF(D11&lt;=0,0,D11*E11/12)</f>
        <v/>
      </c>
      <c r="G11" s="16">
        <f>IF(OR(D11&lt;=0,C11&gt;Parametry!$C$6),0,ROUND(-PMT(E11/12,MAX(1,Parametry!$C$6-C11+1),D11),2))</f>
        <v/>
      </c>
      <c r="H11" s="18" t="n"/>
      <c r="I11" s="19">
        <f>IF(OR(L11&lt;=0,C11&gt;=Parametry!$C$6),0,ROUND(-PMT(IF(C11+1&lt;=Parametry!$C$9,Parametry!$C$8,Parametry!$C$10)/12,MAX(1,Parametry!$C$6-C11),L11),2))</f>
        <v/>
      </c>
      <c r="J11" s="20">
        <f>IF(D11&lt;=0,0,MIN(G11+N(H11),D11+F11))</f>
        <v/>
      </c>
      <c r="K11" s="16">
        <f>IF(J11&lt;=0,0,MAX(0,J11-F11))</f>
        <v/>
      </c>
      <c r="L11" s="20">
        <f>IF(D11&lt;=0,0,MAX(0,D11-K11))</f>
        <v/>
      </c>
      <c r="M11" s="21">
        <f>IF(OR(L11&lt;=0,G11&lt;=L11*E11/12),0,MAX(0,ROUNDUP(-LN(1-L11*(E11/12)/G11)/LN(1+E11/12),0)))</f>
        <v/>
      </c>
    </row>
    <row r="12" ht="18" customHeight="1">
      <c r="A12" s="22" t="n">
        <v>10</v>
      </c>
      <c r="B12" s="23">
        <f>IF(C12&lt;=Parametry!$C$6,DATE(Parametry!$C$12+INT((Parametry!$C$13+10-2)/12),MOD(Parametry!$C$13+10-2,12)+1,Parametry!$C$11),"")</f>
        <v/>
      </c>
      <c r="C12" s="24" t="n">
        <v>10</v>
      </c>
      <c r="D12" s="25">
        <f>IF(C12&lt;=Parametry!$C$6,L11,0)</f>
        <v/>
      </c>
      <c r="E12" s="26">
        <f>IF(OR(D12&lt;=0,C12&gt;Parametry!$C$6),0,IF(C12&lt;=Parametry!$C$9,Parametry!$C$8,Parametry!$C$10))</f>
        <v/>
      </c>
      <c r="F12" s="25">
        <f>IF(D12&lt;=0,0,D12*E12/12)</f>
        <v/>
      </c>
      <c r="G12" s="25">
        <f>IF(OR(D12&lt;=0,C12&gt;Parametry!$C$6),0,ROUND(-PMT(E12/12,MAX(1,Parametry!$C$6-C12+1),D12),2))</f>
        <v/>
      </c>
      <c r="H12" s="18" t="n"/>
      <c r="I12" s="19">
        <f>IF(OR(L12&lt;=0,C12&gt;=Parametry!$C$6),0,ROUND(-PMT(IF(C12+1&lt;=Parametry!$C$9,Parametry!$C$8,Parametry!$C$10)/12,MAX(1,Parametry!$C$6-C12),L12),2))</f>
        <v/>
      </c>
      <c r="J12" s="27">
        <f>IF(D12&lt;=0,0,MIN(G12+N(H12),D12+F12))</f>
        <v/>
      </c>
      <c r="K12" s="25">
        <f>IF(J12&lt;=0,0,MAX(0,J12-F12))</f>
        <v/>
      </c>
      <c r="L12" s="27">
        <f>IF(D12&lt;=0,0,MAX(0,D12-K12))</f>
        <v/>
      </c>
      <c r="M12" s="28">
        <f>IF(OR(L12&lt;=0,G12&lt;=L12*E12/12),0,MAX(0,ROUNDUP(-LN(1-L12*(E12/12)/G12)/LN(1+E12/12),0)))</f>
        <v/>
      </c>
    </row>
    <row r="13" ht="18" customHeight="1">
      <c r="A13" s="13" t="n">
        <v>11</v>
      </c>
      <c r="B13" s="14">
        <f>IF(C13&lt;=Parametry!$C$6,DATE(Parametry!$C$12+INT((Parametry!$C$13+11-2)/12),MOD(Parametry!$C$13+11-2,12)+1,Parametry!$C$11),"")</f>
        <v/>
      </c>
      <c r="C13" s="15" t="n">
        <v>11</v>
      </c>
      <c r="D13" s="16">
        <f>IF(C13&lt;=Parametry!$C$6,L12,0)</f>
        <v/>
      </c>
      <c r="E13" s="17">
        <f>IF(OR(D13&lt;=0,C13&gt;Parametry!$C$6),0,IF(C13&lt;=Parametry!$C$9,Parametry!$C$8,Parametry!$C$10))</f>
        <v/>
      </c>
      <c r="F13" s="16">
        <f>IF(D13&lt;=0,0,D13*E13/12)</f>
        <v/>
      </c>
      <c r="G13" s="16">
        <f>IF(OR(D13&lt;=0,C13&gt;Parametry!$C$6),0,ROUND(-PMT(E13/12,MAX(1,Parametry!$C$6-C13+1),D13),2))</f>
        <v/>
      </c>
      <c r="H13" s="18" t="n"/>
      <c r="I13" s="19">
        <f>IF(OR(L13&lt;=0,C13&gt;=Parametry!$C$6),0,ROUND(-PMT(IF(C13+1&lt;=Parametry!$C$9,Parametry!$C$8,Parametry!$C$10)/12,MAX(1,Parametry!$C$6-C13),L13),2))</f>
        <v/>
      </c>
      <c r="J13" s="20">
        <f>IF(D13&lt;=0,0,MIN(G13+N(H13),D13+F13))</f>
        <v/>
      </c>
      <c r="K13" s="16">
        <f>IF(J13&lt;=0,0,MAX(0,J13-F13))</f>
        <v/>
      </c>
      <c r="L13" s="20">
        <f>IF(D13&lt;=0,0,MAX(0,D13-K13))</f>
        <v/>
      </c>
      <c r="M13" s="21">
        <f>IF(OR(L13&lt;=0,G13&lt;=L13*E13/12),0,MAX(0,ROUNDUP(-LN(1-L13*(E13/12)/G13)/LN(1+E13/12),0)))</f>
        <v/>
      </c>
    </row>
    <row r="14" ht="18" customHeight="1">
      <c r="A14" s="22" t="n">
        <v>12</v>
      </c>
      <c r="B14" s="23">
        <f>IF(C14&lt;=Parametry!$C$6,DATE(Parametry!$C$12+INT((Parametry!$C$13+12-2)/12),MOD(Parametry!$C$13+12-2,12)+1,Parametry!$C$11),"")</f>
        <v/>
      </c>
      <c r="C14" s="24" t="n">
        <v>12</v>
      </c>
      <c r="D14" s="25">
        <f>IF(C14&lt;=Parametry!$C$6,L13,0)</f>
        <v/>
      </c>
      <c r="E14" s="26">
        <f>IF(OR(D14&lt;=0,C14&gt;Parametry!$C$6),0,IF(C14&lt;=Parametry!$C$9,Parametry!$C$8,Parametry!$C$10))</f>
        <v/>
      </c>
      <c r="F14" s="25">
        <f>IF(D14&lt;=0,0,D14*E14/12)</f>
        <v/>
      </c>
      <c r="G14" s="25">
        <f>IF(OR(D14&lt;=0,C14&gt;Parametry!$C$6),0,ROUND(-PMT(E14/12,MAX(1,Parametry!$C$6-C14+1),D14),2))</f>
        <v/>
      </c>
      <c r="H14" s="18" t="n"/>
      <c r="I14" s="19">
        <f>IF(OR(L14&lt;=0,C14&gt;=Parametry!$C$6),0,ROUND(-PMT(IF(C14+1&lt;=Parametry!$C$9,Parametry!$C$8,Parametry!$C$10)/12,MAX(1,Parametry!$C$6-C14),L14),2))</f>
        <v/>
      </c>
      <c r="J14" s="27">
        <f>IF(D14&lt;=0,0,MIN(G14+N(H14),D14+F14))</f>
        <v/>
      </c>
      <c r="K14" s="25">
        <f>IF(J14&lt;=0,0,MAX(0,J14-F14))</f>
        <v/>
      </c>
      <c r="L14" s="27">
        <f>IF(D14&lt;=0,0,MAX(0,D14-K14))</f>
        <v/>
      </c>
      <c r="M14" s="28">
        <f>IF(OR(L14&lt;=0,G14&lt;=L14*E14/12),0,MAX(0,ROUNDUP(-LN(1-L14*(E14/12)/G14)/LN(1+E14/12),0)))</f>
        <v/>
      </c>
    </row>
    <row r="15" ht="18" customHeight="1">
      <c r="A15" s="13" t="n">
        <v>13</v>
      </c>
      <c r="B15" s="14">
        <f>IF(C15&lt;=Parametry!$C$6,DATE(Parametry!$C$12+INT((Parametry!$C$13+13-2)/12),MOD(Parametry!$C$13+13-2,12)+1,Parametry!$C$11),"")</f>
        <v/>
      </c>
      <c r="C15" s="15" t="n">
        <v>13</v>
      </c>
      <c r="D15" s="16">
        <f>IF(C15&lt;=Parametry!$C$6,L14,0)</f>
        <v/>
      </c>
      <c r="E15" s="17">
        <f>IF(OR(D15&lt;=0,C15&gt;Parametry!$C$6),0,IF(C15&lt;=Parametry!$C$9,Parametry!$C$8,Parametry!$C$10))</f>
        <v/>
      </c>
      <c r="F15" s="16">
        <f>IF(D15&lt;=0,0,D15*E15/12)</f>
        <v/>
      </c>
      <c r="G15" s="16">
        <f>IF(OR(D15&lt;=0,C15&gt;Parametry!$C$6),0,ROUND(-PMT(E15/12,MAX(1,Parametry!$C$6-C15+1),D15),2))</f>
        <v/>
      </c>
      <c r="H15" s="18" t="n"/>
      <c r="I15" s="19">
        <f>IF(OR(L15&lt;=0,C15&gt;=Parametry!$C$6),0,ROUND(-PMT(IF(C15+1&lt;=Parametry!$C$9,Parametry!$C$8,Parametry!$C$10)/12,MAX(1,Parametry!$C$6-C15),L15),2))</f>
        <v/>
      </c>
      <c r="J15" s="20">
        <f>IF(D15&lt;=0,0,MIN(G15+N(H15),D15+F15))</f>
        <v/>
      </c>
      <c r="K15" s="16">
        <f>IF(J15&lt;=0,0,MAX(0,J15-F15))</f>
        <v/>
      </c>
      <c r="L15" s="20">
        <f>IF(D15&lt;=0,0,MAX(0,D15-K15))</f>
        <v/>
      </c>
      <c r="M15" s="21">
        <f>IF(OR(L15&lt;=0,G15&lt;=L15*E15/12),0,MAX(0,ROUNDUP(-LN(1-L15*(E15/12)/G15)/LN(1+E15/12),0)))</f>
        <v/>
      </c>
    </row>
    <row r="16" ht="18" customHeight="1">
      <c r="A16" s="22" t="n">
        <v>14</v>
      </c>
      <c r="B16" s="23">
        <f>IF(C16&lt;=Parametry!$C$6,DATE(Parametry!$C$12+INT((Parametry!$C$13+14-2)/12),MOD(Parametry!$C$13+14-2,12)+1,Parametry!$C$11),"")</f>
        <v/>
      </c>
      <c r="C16" s="24" t="n">
        <v>14</v>
      </c>
      <c r="D16" s="25">
        <f>IF(C16&lt;=Parametry!$C$6,L15,0)</f>
        <v/>
      </c>
      <c r="E16" s="26">
        <f>IF(OR(D16&lt;=0,C16&gt;Parametry!$C$6),0,IF(C16&lt;=Parametry!$C$9,Parametry!$C$8,Parametry!$C$10))</f>
        <v/>
      </c>
      <c r="F16" s="25">
        <f>IF(D16&lt;=0,0,D16*E16/12)</f>
        <v/>
      </c>
      <c r="G16" s="25">
        <f>IF(OR(D16&lt;=0,C16&gt;Parametry!$C$6),0,ROUND(-PMT(E16/12,MAX(1,Parametry!$C$6-C16+1),D16),2))</f>
        <v/>
      </c>
      <c r="H16" s="18" t="n"/>
      <c r="I16" s="19">
        <f>IF(OR(L16&lt;=0,C16&gt;=Parametry!$C$6),0,ROUND(-PMT(IF(C16+1&lt;=Parametry!$C$9,Parametry!$C$8,Parametry!$C$10)/12,MAX(1,Parametry!$C$6-C16),L16),2))</f>
        <v/>
      </c>
      <c r="J16" s="27">
        <f>IF(D16&lt;=0,0,MIN(G16+N(H16),D16+F16))</f>
        <v/>
      </c>
      <c r="K16" s="25">
        <f>IF(J16&lt;=0,0,MAX(0,J16-F16))</f>
        <v/>
      </c>
      <c r="L16" s="27">
        <f>IF(D16&lt;=0,0,MAX(0,D16-K16))</f>
        <v/>
      </c>
      <c r="M16" s="28">
        <f>IF(OR(L16&lt;=0,G16&lt;=L16*E16/12),0,MAX(0,ROUNDUP(-LN(1-L16*(E16/12)/G16)/LN(1+E16/12),0)))</f>
        <v/>
      </c>
    </row>
    <row r="17" ht="18" customHeight="1">
      <c r="A17" s="13" t="n">
        <v>15</v>
      </c>
      <c r="B17" s="14">
        <f>IF(C17&lt;=Parametry!$C$6,DATE(Parametry!$C$12+INT((Parametry!$C$13+15-2)/12),MOD(Parametry!$C$13+15-2,12)+1,Parametry!$C$11),"")</f>
        <v/>
      </c>
      <c r="C17" s="15" t="n">
        <v>15</v>
      </c>
      <c r="D17" s="16">
        <f>IF(C17&lt;=Parametry!$C$6,L16,0)</f>
        <v/>
      </c>
      <c r="E17" s="17">
        <f>IF(OR(D17&lt;=0,C17&gt;Parametry!$C$6),0,IF(C17&lt;=Parametry!$C$9,Parametry!$C$8,Parametry!$C$10))</f>
        <v/>
      </c>
      <c r="F17" s="16">
        <f>IF(D17&lt;=0,0,D17*E17/12)</f>
        <v/>
      </c>
      <c r="G17" s="16">
        <f>IF(OR(D17&lt;=0,C17&gt;Parametry!$C$6),0,ROUND(-PMT(E17/12,MAX(1,Parametry!$C$6-C17+1),D17),2))</f>
        <v/>
      </c>
      <c r="H17" s="18" t="n"/>
      <c r="I17" s="19">
        <f>IF(OR(L17&lt;=0,C17&gt;=Parametry!$C$6),0,ROUND(-PMT(IF(C17+1&lt;=Parametry!$C$9,Parametry!$C$8,Parametry!$C$10)/12,MAX(1,Parametry!$C$6-C17),L17),2))</f>
        <v/>
      </c>
      <c r="J17" s="20">
        <f>IF(D17&lt;=0,0,MIN(G17+N(H17),D17+F17))</f>
        <v/>
      </c>
      <c r="K17" s="16">
        <f>IF(J17&lt;=0,0,MAX(0,J17-F17))</f>
        <v/>
      </c>
      <c r="L17" s="20">
        <f>IF(D17&lt;=0,0,MAX(0,D17-K17))</f>
        <v/>
      </c>
      <c r="M17" s="21">
        <f>IF(OR(L17&lt;=0,G17&lt;=L17*E17/12),0,MAX(0,ROUNDUP(-LN(1-L17*(E17/12)/G17)/LN(1+E17/12),0)))</f>
        <v/>
      </c>
    </row>
    <row r="18" ht="18" customHeight="1">
      <c r="A18" s="22" t="n">
        <v>16</v>
      </c>
      <c r="B18" s="23">
        <f>IF(C18&lt;=Parametry!$C$6,DATE(Parametry!$C$12+INT((Parametry!$C$13+16-2)/12),MOD(Parametry!$C$13+16-2,12)+1,Parametry!$C$11),"")</f>
        <v/>
      </c>
      <c r="C18" s="24" t="n">
        <v>16</v>
      </c>
      <c r="D18" s="25">
        <f>IF(C18&lt;=Parametry!$C$6,L17,0)</f>
        <v/>
      </c>
      <c r="E18" s="26">
        <f>IF(OR(D18&lt;=0,C18&gt;Parametry!$C$6),0,IF(C18&lt;=Parametry!$C$9,Parametry!$C$8,Parametry!$C$10))</f>
        <v/>
      </c>
      <c r="F18" s="25">
        <f>IF(D18&lt;=0,0,D18*E18/12)</f>
        <v/>
      </c>
      <c r="G18" s="25">
        <f>IF(OR(D18&lt;=0,C18&gt;Parametry!$C$6),0,ROUND(-PMT(E18/12,MAX(1,Parametry!$C$6-C18+1),D18),2))</f>
        <v/>
      </c>
      <c r="H18" s="18" t="n"/>
      <c r="I18" s="19">
        <f>IF(OR(L18&lt;=0,C18&gt;=Parametry!$C$6),0,ROUND(-PMT(IF(C18+1&lt;=Parametry!$C$9,Parametry!$C$8,Parametry!$C$10)/12,MAX(1,Parametry!$C$6-C18),L18),2))</f>
        <v/>
      </c>
      <c r="J18" s="27">
        <f>IF(D18&lt;=0,0,MIN(G18+N(H18),D18+F18))</f>
        <v/>
      </c>
      <c r="K18" s="25">
        <f>IF(J18&lt;=0,0,MAX(0,J18-F18))</f>
        <v/>
      </c>
      <c r="L18" s="27">
        <f>IF(D18&lt;=0,0,MAX(0,D18-K18))</f>
        <v/>
      </c>
      <c r="M18" s="28">
        <f>IF(OR(L18&lt;=0,G18&lt;=L18*E18/12),0,MAX(0,ROUNDUP(-LN(1-L18*(E18/12)/G18)/LN(1+E18/12),0)))</f>
        <v/>
      </c>
    </row>
    <row r="19" ht="18" customHeight="1">
      <c r="A19" s="13" t="n">
        <v>17</v>
      </c>
      <c r="B19" s="14">
        <f>IF(C19&lt;=Parametry!$C$6,DATE(Parametry!$C$12+INT((Parametry!$C$13+17-2)/12),MOD(Parametry!$C$13+17-2,12)+1,Parametry!$C$11),"")</f>
        <v/>
      </c>
      <c r="C19" s="15" t="n">
        <v>17</v>
      </c>
      <c r="D19" s="16">
        <f>IF(C19&lt;=Parametry!$C$6,L18,0)</f>
        <v/>
      </c>
      <c r="E19" s="17">
        <f>IF(OR(D19&lt;=0,C19&gt;Parametry!$C$6),0,IF(C19&lt;=Parametry!$C$9,Parametry!$C$8,Parametry!$C$10))</f>
        <v/>
      </c>
      <c r="F19" s="16">
        <f>IF(D19&lt;=0,0,D19*E19/12)</f>
        <v/>
      </c>
      <c r="G19" s="16">
        <f>IF(OR(D19&lt;=0,C19&gt;Parametry!$C$6),0,ROUND(-PMT(E19/12,MAX(1,Parametry!$C$6-C19+1),D19),2))</f>
        <v/>
      </c>
      <c r="H19" s="18" t="n"/>
      <c r="I19" s="19">
        <f>IF(OR(L19&lt;=0,C19&gt;=Parametry!$C$6),0,ROUND(-PMT(IF(C19+1&lt;=Parametry!$C$9,Parametry!$C$8,Parametry!$C$10)/12,MAX(1,Parametry!$C$6-C19),L19),2))</f>
        <v/>
      </c>
      <c r="J19" s="20">
        <f>IF(D19&lt;=0,0,MIN(G19+N(H19),D19+F19))</f>
        <v/>
      </c>
      <c r="K19" s="16">
        <f>IF(J19&lt;=0,0,MAX(0,J19-F19))</f>
        <v/>
      </c>
      <c r="L19" s="20">
        <f>IF(D19&lt;=0,0,MAX(0,D19-K19))</f>
        <v/>
      </c>
      <c r="M19" s="21">
        <f>IF(OR(L19&lt;=0,G19&lt;=L19*E19/12),0,MAX(0,ROUNDUP(-LN(1-L19*(E19/12)/G19)/LN(1+E19/12),0)))</f>
        <v/>
      </c>
    </row>
    <row r="20" ht="18" customHeight="1">
      <c r="A20" s="22" t="n">
        <v>18</v>
      </c>
      <c r="B20" s="23">
        <f>IF(C20&lt;=Parametry!$C$6,DATE(Parametry!$C$12+INT((Parametry!$C$13+18-2)/12),MOD(Parametry!$C$13+18-2,12)+1,Parametry!$C$11),"")</f>
        <v/>
      </c>
      <c r="C20" s="24" t="n">
        <v>18</v>
      </c>
      <c r="D20" s="25">
        <f>IF(C20&lt;=Parametry!$C$6,L19,0)</f>
        <v/>
      </c>
      <c r="E20" s="26">
        <f>IF(OR(D20&lt;=0,C20&gt;Parametry!$C$6),0,IF(C20&lt;=Parametry!$C$9,Parametry!$C$8,Parametry!$C$10))</f>
        <v/>
      </c>
      <c r="F20" s="25">
        <f>IF(D20&lt;=0,0,D20*E20/12)</f>
        <v/>
      </c>
      <c r="G20" s="25">
        <f>IF(OR(D20&lt;=0,C20&gt;Parametry!$C$6),0,ROUND(-PMT(E20/12,MAX(1,Parametry!$C$6-C20+1),D20),2))</f>
        <v/>
      </c>
      <c r="H20" s="18" t="n"/>
      <c r="I20" s="19">
        <f>IF(OR(L20&lt;=0,C20&gt;=Parametry!$C$6),0,ROUND(-PMT(IF(C20+1&lt;=Parametry!$C$9,Parametry!$C$8,Parametry!$C$10)/12,MAX(1,Parametry!$C$6-C20),L20),2))</f>
        <v/>
      </c>
      <c r="J20" s="27">
        <f>IF(D20&lt;=0,0,MIN(G20+N(H20),D20+F20))</f>
        <v/>
      </c>
      <c r="K20" s="25">
        <f>IF(J20&lt;=0,0,MAX(0,J20-F20))</f>
        <v/>
      </c>
      <c r="L20" s="27">
        <f>IF(D20&lt;=0,0,MAX(0,D20-K20))</f>
        <v/>
      </c>
      <c r="M20" s="28">
        <f>IF(OR(L20&lt;=0,G20&lt;=L20*E20/12),0,MAX(0,ROUNDUP(-LN(1-L20*(E20/12)/G20)/LN(1+E20/12),0)))</f>
        <v/>
      </c>
    </row>
    <row r="21" ht="18" customHeight="1">
      <c r="A21" s="13" t="n">
        <v>19</v>
      </c>
      <c r="B21" s="14">
        <f>IF(C21&lt;=Parametry!$C$6,DATE(Parametry!$C$12+INT((Parametry!$C$13+19-2)/12),MOD(Parametry!$C$13+19-2,12)+1,Parametry!$C$11),"")</f>
        <v/>
      </c>
      <c r="C21" s="15" t="n">
        <v>19</v>
      </c>
      <c r="D21" s="16">
        <f>IF(C21&lt;=Parametry!$C$6,L20,0)</f>
        <v/>
      </c>
      <c r="E21" s="17">
        <f>IF(OR(D21&lt;=0,C21&gt;Parametry!$C$6),0,IF(C21&lt;=Parametry!$C$9,Parametry!$C$8,Parametry!$C$10))</f>
        <v/>
      </c>
      <c r="F21" s="16">
        <f>IF(D21&lt;=0,0,D21*E21/12)</f>
        <v/>
      </c>
      <c r="G21" s="16">
        <f>IF(OR(D21&lt;=0,C21&gt;Parametry!$C$6),0,ROUND(-PMT(E21/12,MAX(1,Parametry!$C$6-C21+1),D21),2))</f>
        <v/>
      </c>
      <c r="H21" s="18" t="n"/>
      <c r="I21" s="19">
        <f>IF(OR(L21&lt;=0,C21&gt;=Parametry!$C$6),0,ROUND(-PMT(IF(C21+1&lt;=Parametry!$C$9,Parametry!$C$8,Parametry!$C$10)/12,MAX(1,Parametry!$C$6-C21),L21),2))</f>
        <v/>
      </c>
      <c r="J21" s="20">
        <f>IF(D21&lt;=0,0,MIN(G21+N(H21),D21+F21))</f>
        <v/>
      </c>
      <c r="K21" s="16">
        <f>IF(J21&lt;=0,0,MAX(0,J21-F21))</f>
        <v/>
      </c>
      <c r="L21" s="20">
        <f>IF(D21&lt;=0,0,MAX(0,D21-K21))</f>
        <v/>
      </c>
      <c r="M21" s="21">
        <f>IF(OR(L21&lt;=0,G21&lt;=L21*E21/12),0,MAX(0,ROUNDUP(-LN(1-L21*(E21/12)/G21)/LN(1+E21/12),0)))</f>
        <v/>
      </c>
    </row>
    <row r="22" ht="18" customHeight="1">
      <c r="A22" s="22" t="n">
        <v>20</v>
      </c>
      <c r="B22" s="23">
        <f>IF(C22&lt;=Parametry!$C$6,DATE(Parametry!$C$12+INT((Parametry!$C$13+20-2)/12),MOD(Parametry!$C$13+20-2,12)+1,Parametry!$C$11),"")</f>
        <v/>
      </c>
      <c r="C22" s="24" t="n">
        <v>20</v>
      </c>
      <c r="D22" s="25">
        <f>IF(C22&lt;=Parametry!$C$6,L21,0)</f>
        <v/>
      </c>
      <c r="E22" s="26">
        <f>IF(OR(D22&lt;=0,C22&gt;Parametry!$C$6),0,IF(C22&lt;=Parametry!$C$9,Parametry!$C$8,Parametry!$C$10))</f>
        <v/>
      </c>
      <c r="F22" s="25">
        <f>IF(D22&lt;=0,0,D22*E22/12)</f>
        <v/>
      </c>
      <c r="G22" s="25">
        <f>IF(OR(D22&lt;=0,C22&gt;Parametry!$C$6),0,ROUND(-PMT(E22/12,MAX(1,Parametry!$C$6-C22+1),D22),2))</f>
        <v/>
      </c>
      <c r="H22" s="18" t="n"/>
      <c r="I22" s="19">
        <f>IF(OR(L22&lt;=0,C22&gt;=Parametry!$C$6),0,ROUND(-PMT(IF(C22+1&lt;=Parametry!$C$9,Parametry!$C$8,Parametry!$C$10)/12,MAX(1,Parametry!$C$6-C22),L22),2))</f>
        <v/>
      </c>
      <c r="J22" s="27">
        <f>IF(D22&lt;=0,0,MIN(G22+N(H22),D22+F22))</f>
        <v/>
      </c>
      <c r="K22" s="25">
        <f>IF(J22&lt;=0,0,MAX(0,J22-F22))</f>
        <v/>
      </c>
      <c r="L22" s="27">
        <f>IF(D22&lt;=0,0,MAX(0,D22-K22))</f>
        <v/>
      </c>
      <c r="M22" s="28">
        <f>IF(OR(L22&lt;=0,G22&lt;=L22*E22/12),0,MAX(0,ROUNDUP(-LN(1-L22*(E22/12)/G22)/LN(1+E22/12),0)))</f>
        <v/>
      </c>
    </row>
    <row r="23" ht="18" customHeight="1">
      <c r="A23" s="13" t="n">
        <v>21</v>
      </c>
      <c r="B23" s="14">
        <f>IF(C23&lt;=Parametry!$C$6,DATE(Parametry!$C$12+INT((Parametry!$C$13+21-2)/12),MOD(Parametry!$C$13+21-2,12)+1,Parametry!$C$11),"")</f>
        <v/>
      </c>
      <c r="C23" s="15" t="n">
        <v>21</v>
      </c>
      <c r="D23" s="16">
        <f>IF(C23&lt;=Parametry!$C$6,L22,0)</f>
        <v/>
      </c>
      <c r="E23" s="17">
        <f>IF(OR(D23&lt;=0,C23&gt;Parametry!$C$6),0,IF(C23&lt;=Parametry!$C$9,Parametry!$C$8,Parametry!$C$10))</f>
        <v/>
      </c>
      <c r="F23" s="16">
        <f>IF(D23&lt;=0,0,D23*E23/12)</f>
        <v/>
      </c>
      <c r="G23" s="16">
        <f>IF(OR(D23&lt;=0,C23&gt;Parametry!$C$6),0,ROUND(-PMT(E23/12,MAX(1,Parametry!$C$6-C23+1),D23),2))</f>
        <v/>
      </c>
      <c r="H23" s="18" t="n"/>
      <c r="I23" s="19">
        <f>IF(OR(L23&lt;=0,C23&gt;=Parametry!$C$6),0,ROUND(-PMT(IF(C23+1&lt;=Parametry!$C$9,Parametry!$C$8,Parametry!$C$10)/12,MAX(1,Parametry!$C$6-C23),L23),2))</f>
        <v/>
      </c>
      <c r="J23" s="20">
        <f>IF(D23&lt;=0,0,MIN(G23+N(H23),D23+F23))</f>
        <v/>
      </c>
      <c r="K23" s="16">
        <f>IF(J23&lt;=0,0,MAX(0,J23-F23))</f>
        <v/>
      </c>
      <c r="L23" s="20">
        <f>IF(D23&lt;=0,0,MAX(0,D23-K23))</f>
        <v/>
      </c>
      <c r="M23" s="21">
        <f>IF(OR(L23&lt;=0,G23&lt;=L23*E23/12),0,MAX(0,ROUNDUP(-LN(1-L23*(E23/12)/G23)/LN(1+E23/12),0)))</f>
        <v/>
      </c>
    </row>
    <row r="24" ht="18" customHeight="1">
      <c r="A24" s="22" t="n">
        <v>22</v>
      </c>
      <c r="B24" s="23">
        <f>IF(C24&lt;=Parametry!$C$6,DATE(Parametry!$C$12+INT((Parametry!$C$13+22-2)/12),MOD(Parametry!$C$13+22-2,12)+1,Parametry!$C$11),"")</f>
        <v/>
      </c>
      <c r="C24" s="24" t="n">
        <v>22</v>
      </c>
      <c r="D24" s="25">
        <f>IF(C24&lt;=Parametry!$C$6,L23,0)</f>
        <v/>
      </c>
      <c r="E24" s="26">
        <f>IF(OR(D24&lt;=0,C24&gt;Parametry!$C$6),0,IF(C24&lt;=Parametry!$C$9,Parametry!$C$8,Parametry!$C$10))</f>
        <v/>
      </c>
      <c r="F24" s="25">
        <f>IF(D24&lt;=0,0,D24*E24/12)</f>
        <v/>
      </c>
      <c r="G24" s="25">
        <f>IF(OR(D24&lt;=0,C24&gt;Parametry!$C$6),0,ROUND(-PMT(E24/12,MAX(1,Parametry!$C$6-C24+1),D24),2))</f>
        <v/>
      </c>
      <c r="H24" s="18" t="n"/>
      <c r="I24" s="19">
        <f>IF(OR(L24&lt;=0,C24&gt;=Parametry!$C$6),0,ROUND(-PMT(IF(C24+1&lt;=Parametry!$C$9,Parametry!$C$8,Parametry!$C$10)/12,MAX(1,Parametry!$C$6-C24),L24),2))</f>
        <v/>
      </c>
      <c r="J24" s="27">
        <f>IF(D24&lt;=0,0,MIN(G24+N(H24),D24+F24))</f>
        <v/>
      </c>
      <c r="K24" s="25">
        <f>IF(J24&lt;=0,0,MAX(0,J24-F24))</f>
        <v/>
      </c>
      <c r="L24" s="27">
        <f>IF(D24&lt;=0,0,MAX(0,D24-K24))</f>
        <v/>
      </c>
      <c r="M24" s="28">
        <f>IF(OR(L24&lt;=0,G24&lt;=L24*E24/12),0,MAX(0,ROUNDUP(-LN(1-L24*(E24/12)/G24)/LN(1+E24/12),0)))</f>
        <v/>
      </c>
    </row>
    <row r="25" ht="18" customHeight="1">
      <c r="A25" s="13" t="n">
        <v>23</v>
      </c>
      <c r="B25" s="14">
        <f>IF(C25&lt;=Parametry!$C$6,DATE(Parametry!$C$12+INT((Parametry!$C$13+23-2)/12),MOD(Parametry!$C$13+23-2,12)+1,Parametry!$C$11),"")</f>
        <v/>
      </c>
      <c r="C25" s="15" t="n">
        <v>23</v>
      </c>
      <c r="D25" s="16">
        <f>IF(C25&lt;=Parametry!$C$6,L24,0)</f>
        <v/>
      </c>
      <c r="E25" s="17">
        <f>IF(OR(D25&lt;=0,C25&gt;Parametry!$C$6),0,IF(C25&lt;=Parametry!$C$9,Parametry!$C$8,Parametry!$C$10))</f>
        <v/>
      </c>
      <c r="F25" s="16">
        <f>IF(D25&lt;=0,0,D25*E25/12)</f>
        <v/>
      </c>
      <c r="G25" s="16">
        <f>IF(OR(D25&lt;=0,C25&gt;Parametry!$C$6),0,ROUND(-PMT(E25/12,MAX(1,Parametry!$C$6-C25+1),D25),2))</f>
        <v/>
      </c>
      <c r="H25" s="18" t="n"/>
      <c r="I25" s="19">
        <f>IF(OR(L25&lt;=0,C25&gt;=Parametry!$C$6),0,ROUND(-PMT(IF(C25+1&lt;=Parametry!$C$9,Parametry!$C$8,Parametry!$C$10)/12,MAX(1,Parametry!$C$6-C25),L25),2))</f>
        <v/>
      </c>
      <c r="J25" s="20">
        <f>IF(D25&lt;=0,0,MIN(G25+N(H25),D25+F25))</f>
        <v/>
      </c>
      <c r="K25" s="16">
        <f>IF(J25&lt;=0,0,MAX(0,J25-F25))</f>
        <v/>
      </c>
      <c r="L25" s="20">
        <f>IF(D25&lt;=0,0,MAX(0,D25-K25))</f>
        <v/>
      </c>
      <c r="M25" s="21">
        <f>IF(OR(L25&lt;=0,G25&lt;=L25*E25/12),0,MAX(0,ROUNDUP(-LN(1-L25*(E25/12)/G25)/LN(1+E25/12),0)))</f>
        <v/>
      </c>
    </row>
    <row r="26" ht="18" customHeight="1">
      <c r="A26" s="22" t="n">
        <v>24</v>
      </c>
      <c r="B26" s="23">
        <f>IF(C26&lt;=Parametry!$C$6,DATE(Parametry!$C$12+INT((Parametry!$C$13+24-2)/12),MOD(Parametry!$C$13+24-2,12)+1,Parametry!$C$11),"")</f>
        <v/>
      </c>
      <c r="C26" s="24" t="n">
        <v>24</v>
      </c>
      <c r="D26" s="25">
        <f>IF(C26&lt;=Parametry!$C$6,L25,0)</f>
        <v/>
      </c>
      <c r="E26" s="26">
        <f>IF(OR(D26&lt;=0,C26&gt;Parametry!$C$6),0,IF(C26&lt;=Parametry!$C$9,Parametry!$C$8,Parametry!$C$10))</f>
        <v/>
      </c>
      <c r="F26" s="25">
        <f>IF(D26&lt;=0,0,D26*E26/12)</f>
        <v/>
      </c>
      <c r="G26" s="25">
        <f>IF(OR(D26&lt;=0,C26&gt;Parametry!$C$6),0,ROUND(-PMT(E26/12,MAX(1,Parametry!$C$6-C26+1),D26),2))</f>
        <v/>
      </c>
      <c r="H26" s="18" t="n"/>
      <c r="I26" s="19">
        <f>IF(OR(L26&lt;=0,C26&gt;=Parametry!$C$6),0,ROUND(-PMT(IF(C26+1&lt;=Parametry!$C$9,Parametry!$C$8,Parametry!$C$10)/12,MAX(1,Parametry!$C$6-C26),L26),2))</f>
        <v/>
      </c>
      <c r="J26" s="27">
        <f>IF(D26&lt;=0,0,MIN(G26+N(H26),D26+F26))</f>
        <v/>
      </c>
      <c r="K26" s="25">
        <f>IF(J26&lt;=0,0,MAX(0,J26-F26))</f>
        <v/>
      </c>
      <c r="L26" s="27">
        <f>IF(D26&lt;=0,0,MAX(0,D26-K26))</f>
        <v/>
      </c>
      <c r="M26" s="28">
        <f>IF(OR(L26&lt;=0,G26&lt;=L26*E26/12),0,MAX(0,ROUNDUP(-LN(1-L26*(E26/12)/G26)/LN(1+E26/12),0)))</f>
        <v/>
      </c>
    </row>
    <row r="27" ht="18" customHeight="1">
      <c r="A27" s="13" t="n">
        <v>25</v>
      </c>
      <c r="B27" s="14">
        <f>IF(C27&lt;=Parametry!$C$6,DATE(Parametry!$C$12+INT((Parametry!$C$13+25-2)/12),MOD(Parametry!$C$13+25-2,12)+1,Parametry!$C$11),"")</f>
        <v/>
      </c>
      <c r="C27" s="15" t="n">
        <v>25</v>
      </c>
      <c r="D27" s="16">
        <f>IF(C27&lt;=Parametry!$C$6,L26,0)</f>
        <v/>
      </c>
      <c r="E27" s="17">
        <f>IF(OR(D27&lt;=0,C27&gt;Parametry!$C$6),0,IF(C27&lt;=Parametry!$C$9,Parametry!$C$8,Parametry!$C$10))</f>
        <v/>
      </c>
      <c r="F27" s="16">
        <f>IF(D27&lt;=0,0,D27*E27/12)</f>
        <v/>
      </c>
      <c r="G27" s="16">
        <f>IF(OR(D27&lt;=0,C27&gt;Parametry!$C$6),0,ROUND(-PMT(E27/12,MAX(1,Parametry!$C$6-C27+1),D27),2))</f>
        <v/>
      </c>
      <c r="H27" s="18" t="n"/>
      <c r="I27" s="19">
        <f>IF(OR(L27&lt;=0,C27&gt;=Parametry!$C$6),0,ROUND(-PMT(IF(C27+1&lt;=Parametry!$C$9,Parametry!$C$8,Parametry!$C$10)/12,MAX(1,Parametry!$C$6-C27),L27),2))</f>
        <v/>
      </c>
      <c r="J27" s="20">
        <f>IF(D27&lt;=0,0,MIN(G27+N(H27),D27+F27))</f>
        <v/>
      </c>
      <c r="K27" s="16">
        <f>IF(J27&lt;=0,0,MAX(0,J27-F27))</f>
        <v/>
      </c>
      <c r="L27" s="20">
        <f>IF(D27&lt;=0,0,MAX(0,D27-K27))</f>
        <v/>
      </c>
      <c r="M27" s="21">
        <f>IF(OR(L27&lt;=0,G27&lt;=L27*E27/12),0,MAX(0,ROUNDUP(-LN(1-L27*(E27/12)/G27)/LN(1+E27/12),0)))</f>
        <v/>
      </c>
    </row>
    <row r="28" ht="18" customHeight="1">
      <c r="A28" s="22" t="n">
        <v>26</v>
      </c>
      <c r="B28" s="23">
        <f>IF(C28&lt;=Parametry!$C$6,DATE(Parametry!$C$12+INT((Parametry!$C$13+26-2)/12),MOD(Parametry!$C$13+26-2,12)+1,Parametry!$C$11),"")</f>
        <v/>
      </c>
      <c r="C28" s="24" t="n">
        <v>26</v>
      </c>
      <c r="D28" s="25">
        <f>IF(C28&lt;=Parametry!$C$6,L27,0)</f>
        <v/>
      </c>
      <c r="E28" s="26">
        <f>IF(OR(D28&lt;=0,C28&gt;Parametry!$C$6),0,IF(C28&lt;=Parametry!$C$9,Parametry!$C$8,Parametry!$C$10))</f>
        <v/>
      </c>
      <c r="F28" s="25">
        <f>IF(D28&lt;=0,0,D28*E28/12)</f>
        <v/>
      </c>
      <c r="G28" s="25">
        <f>IF(OR(D28&lt;=0,C28&gt;Parametry!$C$6),0,ROUND(-PMT(E28/12,MAX(1,Parametry!$C$6-C28+1),D28),2))</f>
        <v/>
      </c>
      <c r="H28" s="18" t="n"/>
      <c r="I28" s="19">
        <f>IF(OR(L28&lt;=0,C28&gt;=Parametry!$C$6),0,ROUND(-PMT(IF(C28+1&lt;=Parametry!$C$9,Parametry!$C$8,Parametry!$C$10)/12,MAX(1,Parametry!$C$6-C28),L28),2))</f>
        <v/>
      </c>
      <c r="J28" s="27">
        <f>IF(D28&lt;=0,0,MIN(G28+N(H28),D28+F28))</f>
        <v/>
      </c>
      <c r="K28" s="25">
        <f>IF(J28&lt;=0,0,MAX(0,J28-F28))</f>
        <v/>
      </c>
      <c r="L28" s="27">
        <f>IF(D28&lt;=0,0,MAX(0,D28-K28))</f>
        <v/>
      </c>
      <c r="M28" s="28">
        <f>IF(OR(L28&lt;=0,G28&lt;=L28*E28/12),0,MAX(0,ROUNDUP(-LN(1-L28*(E28/12)/G28)/LN(1+E28/12),0)))</f>
        <v/>
      </c>
    </row>
    <row r="29" ht="18" customHeight="1">
      <c r="A29" s="13" t="n">
        <v>27</v>
      </c>
      <c r="B29" s="14">
        <f>IF(C29&lt;=Parametry!$C$6,DATE(Parametry!$C$12+INT((Parametry!$C$13+27-2)/12),MOD(Parametry!$C$13+27-2,12)+1,Parametry!$C$11),"")</f>
        <v/>
      </c>
      <c r="C29" s="15" t="n">
        <v>27</v>
      </c>
      <c r="D29" s="16">
        <f>IF(C29&lt;=Parametry!$C$6,L28,0)</f>
        <v/>
      </c>
      <c r="E29" s="17">
        <f>IF(OR(D29&lt;=0,C29&gt;Parametry!$C$6),0,IF(C29&lt;=Parametry!$C$9,Parametry!$C$8,Parametry!$C$10))</f>
        <v/>
      </c>
      <c r="F29" s="16">
        <f>IF(D29&lt;=0,0,D29*E29/12)</f>
        <v/>
      </c>
      <c r="G29" s="16">
        <f>IF(OR(D29&lt;=0,C29&gt;Parametry!$C$6),0,ROUND(-PMT(E29/12,MAX(1,Parametry!$C$6-C29+1),D29),2))</f>
        <v/>
      </c>
      <c r="H29" s="18" t="n"/>
      <c r="I29" s="19">
        <f>IF(OR(L29&lt;=0,C29&gt;=Parametry!$C$6),0,ROUND(-PMT(IF(C29+1&lt;=Parametry!$C$9,Parametry!$C$8,Parametry!$C$10)/12,MAX(1,Parametry!$C$6-C29),L29),2))</f>
        <v/>
      </c>
      <c r="J29" s="20">
        <f>IF(D29&lt;=0,0,MIN(G29+N(H29),D29+F29))</f>
        <v/>
      </c>
      <c r="K29" s="16">
        <f>IF(J29&lt;=0,0,MAX(0,J29-F29))</f>
        <v/>
      </c>
      <c r="L29" s="20">
        <f>IF(D29&lt;=0,0,MAX(0,D29-K29))</f>
        <v/>
      </c>
      <c r="M29" s="21">
        <f>IF(OR(L29&lt;=0,G29&lt;=L29*E29/12),0,MAX(0,ROUNDUP(-LN(1-L29*(E29/12)/G29)/LN(1+E29/12),0)))</f>
        <v/>
      </c>
    </row>
    <row r="30" ht="18" customHeight="1">
      <c r="A30" s="22" t="n">
        <v>28</v>
      </c>
      <c r="B30" s="23">
        <f>IF(C30&lt;=Parametry!$C$6,DATE(Parametry!$C$12+INT((Parametry!$C$13+28-2)/12),MOD(Parametry!$C$13+28-2,12)+1,Parametry!$C$11),"")</f>
        <v/>
      </c>
      <c r="C30" s="24" t="n">
        <v>28</v>
      </c>
      <c r="D30" s="25">
        <f>IF(C30&lt;=Parametry!$C$6,L29,0)</f>
        <v/>
      </c>
      <c r="E30" s="26">
        <f>IF(OR(D30&lt;=0,C30&gt;Parametry!$C$6),0,IF(C30&lt;=Parametry!$C$9,Parametry!$C$8,Parametry!$C$10))</f>
        <v/>
      </c>
      <c r="F30" s="25">
        <f>IF(D30&lt;=0,0,D30*E30/12)</f>
        <v/>
      </c>
      <c r="G30" s="25">
        <f>IF(OR(D30&lt;=0,C30&gt;Parametry!$C$6),0,ROUND(-PMT(E30/12,MAX(1,Parametry!$C$6-C30+1),D30),2))</f>
        <v/>
      </c>
      <c r="H30" s="18" t="n"/>
      <c r="I30" s="19">
        <f>IF(OR(L30&lt;=0,C30&gt;=Parametry!$C$6),0,ROUND(-PMT(IF(C30+1&lt;=Parametry!$C$9,Parametry!$C$8,Parametry!$C$10)/12,MAX(1,Parametry!$C$6-C30),L30),2))</f>
        <v/>
      </c>
      <c r="J30" s="27">
        <f>IF(D30&lt;=0,0,MIN(G30+N(H30),D30+F30))</f>
        <v/>
      </c>
      <c r="K30" s="25">
        <f>IF(J30&lt;=0,0,MAX(0,J30-F30))</f>
        <v/>
      </c>
      <c r="L30" s="27">
        <f>IF(D30&lt;=0,0,MAX(0,D30-K30))</f>
        <v/>
      </c>
      <c r="M30" s="28">
        <f>IF(OR(L30&lt;=0,G30&lt;=L30*E30/12),0,MAX(0,ROUNDUP(-LN(1-L30*(E30/12)/G30)/LN(1+E30/12),0)))</f>
        <v/>
      </c>
    </row>
    <row r="31" ht="18" customHeight="1">
      <c r="A31" s="13" t="n">
        <v>29</v>
      </c>
      <c r="B31" s="14">
        <f>IF(C31&lt;=Parametry!$C$6,DATE(Parametry!$C$12+INT((Parametry!$C$13+29-2)/12),MOD(Parametry!$C$13+29-2,12)+1,Parametry!$C$11),"")</f>
        <v/>
      </c>
      <c r="C31" s="15" t="n">
        <v>29</v>
      </c>
      <c r="D31" s="16">
        <f>IF(C31&lt;=Parametry!$C$6,L30,0)</f>
        <v/>
      </c>
      <c r="E31" s="17">
        <f>IF(OR(D31&lt;=0,C31&gt;Parametry!$C$6),0,IF(C31&lt;=Parametry!$C$9,Parametry!$C$8,Parametry!$C$10))</f>
        <v/>
      </c>
      <c r="F31" s="16">
        <f>IF(D31&lt;=0,0,D31*E31/12)</f>
        <v/>
      </c>
      <c r="G31" s="16">
        <f>IF(OR(D31&lt;=0,C31&gt;Parametry!$C$6),0,ROUND(-PMT(E31/12,MAX(1,Parametry!$C$6-C31+1),D31),2))</f>
        <v/>
      </c>
      <c r="H31" s="18" t="n"/>
      <c r="I31" s="19">
        <f>IF(OR(L31&lt;=0,C31&gt;=Parametry!$C$6),0,ROUND(-PMT(IF(C31+1&lt;=Parametry!$C$9,Parametry!$C$8,Parametry!$C$10)/12,MAX(1,Parametry!$C$6-C31),L31),2))</f>
        <v/>
      </c>
      <c r="J31" s="20">
        <f>IF(D31&lt;=0,0,MIN(G31+N(H31),D31+F31))</f>
        <v/>
      </c>
      <c r="K31" s="16">
        <f>IF(J31&lt;=0,0,MAX(0,J31-F31))</f>
        <v/>
      </c>
      <c r="L31" s="20">
        <f>IF(D31&lt;=0,0,MAX(0,D31-K31))</f>
        <v/>
      </c>
      <c r="M31" s="21">
        <f>IF(OR(L31&lt;=0,G31&lt;=L31*E31/12),0,MAX(0,ROUNDUP(-LN(1-L31*(E31/12)/G31)/LN(1+E31/12),0)))</f>
        <v/>
      </c>
    </row>
    <row r="32" ht="18" customHeight="1">
      <c r="A32" s="22" t="n">
        <v>30</v>
      </c>
      <c r="B32" s="23">
        <f>IF(C32&lt;=Parametry!$C$6,DATE(Parametry!$C$12+INT((Parametry!$C$13+30-2)/12),MOD(Parametry!$C$13+30-2,12)+1,Parametry!$C$11),"")</f>
        <v/>
      </c>
      <c r="C32" s="24" t="n">
        <v>30</v>
      </c>
      <c r="D32" s="25">
        <f>IF(C32&lt;=Parametry!$C$6,L31,0)</f>
        <v/>
      </c>
      <c r="E32" s="26">
        <f>IF(OR(D32&lt;=0,C32&gt;Parametry!$C$6),0,IF(C32&lt;=Parametry!$C$9,Parametry!$C$8,Parametry!$C$10))</f>
        <v/>
      </c>
      <c r="F32" s="25">
        <f>IF(D32&lt;=0,0,D32*E32/12)</f>
        <v/>
      </c>
      <c r="G32" s="25">
        <f>IF(OR(D32&lt;=0,C32&gt;Parametry!$C$6),0,ROUND(-PMT(E32/12,MAX(1,Parametry!$C$6-C32+1),D32),2))</f>
        <v/>
      </c>
      <c r="H32" s="18" t="n"/>
      <c r="I32" s="19">
        <f>IF(OR(L32&lt;=0,C32&gt;=Parametry!$C$6),0,ROUND(-PMT(IF(C32+1&lt;=Parametry!$C$9,Parametry!$C$8,Parametry!$C$10)/12,MAX(1,Parametry!$C$6-C32),L32),2))</f>
        <v/>
      </c>
      <c r="J32" s="27">
        <f>IF(D32&lt;=0,0,MIN(G32+N(H32),D32+F32))</f>
        <v/>
      </c>
      <c r="K32" s="25">
        <f>IF(J32&lt;=0,0,MAX(0,J32-F32))</f>
        <v/>
      </c>
      <c r="L32" s="27">
        <f>IF(D32&lt;=0,0,MAX(0,D32-K32))</f>
        <v/>
      </c>
      <c r="M32" s="28">
        <f>IF(OR(L32&lt;=0,G32&lt;=L32*E32/12),0,MAX(0,ROUNDUP(-LN(1-L32*(E32/12)/G32)/LN(1+E32/12),0)))</f>
        <v/>
      </c>
    </row>
    <row r="33" ht="18" customHeight="1">
      <c r="A33" s="13" t="n">
        <v>31</v>
      </c>
      <c r="B33" s="14">
        <f>IF(C33&lt;=Parametry!$C$6,DATE(Parametry!$C$12+INT((Parametry!$C$13+31-2)/12),MOD(Parametry!$C$13+31-2,12)+1,Parametry!$C$11),"")</f>
        <v/>
      </c>
      <c r="C33" s="15" t="n">
        <v>31</v>
      </c>
      <c r="D33" s="16">
        <f>IF(C33&lt;=Parametry!$C$6,L32,0)</f>
        <v/>
      </c>
      <c r="E33" s="17">
        <f>IF(OR(D33&lt;=0,C33&gt;Parametry!$C$6),0,IF(C33&lt;=Parametry!$C$9,Parametry!$C$8,Parametry!$C$10))</f>
        <v/>
      </c>
      <c r="F33" s="16">
        <f>IF(D33&lt;=0,0,D33*E33/12)</f>
        <v/>
      </c>
      <c r="G33" s="16">
        <f>IF(OR(D33&lt;=0,C33&gt;Parametry!$C$6),0,ROUND(-PMT(E33/12,MAX(1,Parametry!$C$6-C33+1),D33),2))</f>
        <v/>
      </c>
      <c r="H33" s="18" t="n"/>
      <c r="I33" s="19">
        <f>IF(OR(L33&lt;=0,C33&gt;=Parametry!$C$6),0,ROUND(-PMT(IF(C33+1&lt;=Parametry!$C$9,Parametry!$C$8,Parametry!$C$10)/12,MAX(1,Parametry!$C$6-C33),L33),2))</f>
        <v/>
      </c>
      <c r="J33" s="20">
        <f>IF(D33&lt;=0,0,MIN(G33+N(H33),D33+F33))</f>
        <v/>
      </c>
      <c r="K33" s="16">
        <f>IF(J33&lt;=0,0,MAX(0,J33-F33))</f>
        <v/>
      </c>
      <c r="L33" s="20">
        <f>IF(D33&lt;=0,0,MAX(0,D33-K33))</f>
        <v/>
      </c>
      <c r="M33" s="21">
        <f>IF(OR(L33&lt;=0,G33&lt;=L33*E33/12),0,MAX(0,ROUNDUP(-LN(1-L33*(E33/12)/G33)/LN(1+E33/12),0)))</f>
        <v/>
      </c>
    </row>
    <row r="34" ht="18" customHeight="1">
      <c r="A34" s="22" t="n">
        <v>32</v>
      </c>
      <c r="B34" s="23">
        <f>IF(C34&lt;=Parametry!$C$6,DATE(Parametry!$C$12+INT((Parametry!$C$13+32-2)/12),MOD(Parametry!$C$13+32-2,12)+1,Parametry!$C$11),"")</f>
        <v/>
      </c>
      <c r="C34" s="24" t="n">
        <v>32</v>
      </c>
      <c r="D34" s="25">
        <f>IF(C34&lt;=Parametry!$C$6,L33,0)</f>
        <v/>
      </c>
      <c r="E34" s="26">
        <f>IF(OR(D34&lt;=0,C34&gt;Parametry!$C$6),0,IF(C34&lt;=Parametry!$C$9,Parametry!$C$8,Parametry!$C$10))</f>
        <v/>
      </c>
      <c r="F34" s="25">
        <f>IF(D34&lt;=0,0,D34*E34/12)</f>
        <v/>
      </c>
      <c r="G34" s="25">
        <f>IF(OR(D34&lt;=0,C34&gt;Parametry!$C$6),0,ROUND(-PMT(E34/12,MAX(1,Parametry!$C$6-C34+1),D34),2))</f>
        <v/>
      </c>
      <c r="H34" s="18" t="n"/>
      <c r="I34" s="19">
        <f>IF(OR(L34&lt;=0,C34&gt;=Parametry!$C$6),0,ROUND(-PMT(IF(C34+1&lt;=Parametry!$C$9,Parametry!$C$8,Parametry!$C$10)/12,MAX(1,Parametry!$C$6-C34),L34),2))</f>
        <v/>
      </c>
      <c r="J34" s="27">
        <f>IF(D34&lt;=0,0,MIN(G34+N(H34),D34+F34))</f>
        <v/>
      </c>
      <c r="K34" s="25">
        <f>IF(J34&lt;=0,0,MAX(0,J34-F34))</f>
        <v/>
      </c>
      <c r="L34" s="27">
        <f>IF(D34&lt;=0,0,MAX(0,D34-K34))</f>
        <v/>
      </c>
      <c r="M34" s="28">
        <f>IF(OR(L34&lt;=0,G34&lt;=L34*E34/12),0,MAX(0,ROUNDUP(-LN(1-L34*(E34/12)/G34)/LN(1+E34/12),0)))</f>
        <v/>
      </c>
    </row>
    <row r="35" ht="18" customHeight="1">
      <c r="A35" s="13" t="n">
        <v>33</v>
      </c>
      <c r="B35" s="14">
        <f>IF(C35&lt;=Parametry!$C$6,DATE(Parametry!$C$12+INT((Parametry!$C$13+33-2)/12),MOD(Parametry!$C$13+33-2,12)+1,Parametry!$C$11),"")</f>
        <v/>
      </c>
      <c r="C35" s="15" t="n">
        <v>33</v>
      </c>
      <c r="D35" s="16">
        <f>IF(C35&lt;=Parametry!$C$6,L34,0)</f>
        <v/>
      </c>
      <c r="E35" s="17">
        <f>IF(OR(D35&lt;=0,C35&gt;Parametry!$C$6),0,IF(C35&lt;=Parametry!$C$9,Parametry!$C$8,Parametry!$C$10))</f>
        <v/>
      </c>
      <c r="F35" s="16">
        <f>IF(D35&lt;=0,0,D35*E35/12)</f>
        <v/>
      </c>
      <c r="G35" s="16">
        <f>IF(OR(D35&lt;=0,C35&gt;Parametry!$C$6),0,ROUND(-PMT(E35/12,MAX(1,Parametry!$C$6-C35+1),D35),2))</f>
        <v/>
      </c>
      <c r="H35" s="18" t="n"/>
      <c r="I35" s="19">
        <f>IF(OR(L35&lt;=0,C35&gt;=Parametry!$C$6),0,ROUND(-PMT(IF(C35+1&lt;=Parametry!$C$9,Parametry!$C$8,Parametry!$C$10)/12,MAX(1,Parametry!$C$6-C35),L35),2))</f>
        <v/>
      </c>
      <c r="J35" s="20">
        <f>IF(D35&lt;=0,0,MIN(G35+N(H35),D35+F35))</f>
        <v/>
      </c>
      <c r="K35" s="16">
        <f>IF(J35&lt;=0,0,MAX(0,J35-F35))</f>
        <v/>
      </c>
      <c r="L35" s="20">
        <f>IF(D35&lt;=0,0,MAX(0,D35-K35))</f>
        <v/>
      </c>
      <c r="M35" s="21">
        <f>IF(OR(L35&lt;=0,G35&lt;=L35*E35/12),0,MAX(0,ROUNDUP(-LN(1-L35*(E35/12)/G35)/LN(1+E35/12),0)))</f>
        <v/>
      </c>
    </row>
    <row r="36" ht="18" customHeight="1">
      <c r="A36" s="22" t="n">
        <v>34</v>
      </c>
      <c r="B36" s="23">
        <f>IF(C36&lt;=Parametry!$C$6,DATE(Parametry!$C$12+INT((Parametry!$C$13+34-2)/12),MOD(Parametry!$C$13+34-2,12)+1,Parametry!$C$11),"")</f>
        <v/>
      </c>
      <c r="C36" s="24" t="n">
        <v>34</v>
      </c>
      <c r="D36" s="25">
        <f>IF(C36&lt;=Parametry!$C$6,L35,0)</f>
        <v/>
      </c>
      <c r="E36" s="26">
        <f>IF(OR(D36&lt;=0,C36&gt;Parametry!$C$6),0,IF(C36&lt;=Parametry!$C$9,Parametry!$C$8,Parametry!$C$10))</f>
        <v/>
      </c>
      <c r="F36" s="25">
        <f>IF(D36&lt;=0,0,D36*E36/12)</f>
        <v/>
      </c>
      <c r="G36" s="25">
        <f>IF(OR(D36&lt;=0,C36&gt;Parametry!$C$6),0,ROUND(-PMT(E36/12,MAX(1,Parametry!$C$6-C36+1),D36),2))</f>
        <v/>
      </c>
      <c r="H36" s="18" t="n"/>
      <c r="I36" s="19">
        <f>IF(OR(L36&lt;=0,C36&gt;=Parametry!$C$6),0,ROUND(-PMT(IF(C36+1&lt;=Parametry!$C$9,Parametry!$C$8,Parametry!$C$10)/12,MAX(1,Parametry!$C$6-C36),L36),2))</f>
        <v/>
      </c>
      <c r="J36" s="27">
        <f>IF(D36&lt;=0,0,MIN(G36+N(H36),D36+F36))</f>
        <v/>
      </c>
      <c r="K36" s="25">
        <f>IF(J36&lt;=0,0,MAX(0,J36-F36))</f>
        <v/>
      </c>
      <c r="L36" s="27">
        <f>IF(D36&lt;=0,0,MAX(0,D36-K36))</f>
        <v/>
      </c>
      <c r="M36" s="28">
        <f>IF(OR(L36&lt;=0,G36&lt;=L36*E36/12),0,MAX(0,ROUNDUP(-LN(1-L36*(E36/12)/G36)/LN(1+E36/12),0)))</f>
        <v/>
      </c>
    </row>
    <row r="37" ht="18" customHeight="1">
      <c r="A37" s="13" t="n">
        <v>35</v>
      </c>
      <c r="B37" s="14">
        <f>IF(C37&lt;=Parametry!$C$6,DATE(Parametry!$C$12+INT((Parametry!$C$13+35-2)/12),MOD(Parametry!$C$13+35-2,12)+1,Parametry!$C$11),"")</f>
        <v/>
      </c>
      <c r="C37" s="15" t="n">
        <v>35</v>
      </c>
      <c r="D37" s="16">
        <f>IF(C37&lt;=Parametry!$C$6,L36,0)</f>
        <v/>
      </c>
      <c r="E37" s="17">
        <f>IF(OR(D37&lt;=0,C37&gt;Parametry!$C$6),0,IF(C37&lt;=Parametry!$C$9,Parametry!$C$8,Parametry!$C$10))</f>
        <v/>
      </c>
      <c r="F37" s="16">
        <f>IF(D37&lt;=0,0,D37*E37/12)</f>
        <v/>
      </c>
      <c r="G37" s="16">
        <f>IF(OR(D37&lt;=0,C37&gt;Parametry!$C$6),0,ROUND(-PMT(E37/12,MAX(1,Parametry!$C$6-C37+1),D37),2))</f>
        <v/>
      </c>
      <c r="H37" s="18" t="n"/>
      <c r="I37" s="19">
        <f>IF(OR(L37&lt;=0,C37&gt;=Parametry!$C$6),0,ROUND(-PMT(IF(C37+1&lt;=Parametry!$C$9,Parametry!$C$8,Parametry!$C$10)/12,MAX(1,Parametry!$C$6-C37),L37),2))</f>
        <v/>
      </c>
      <c r="J37" s="20">
        <f>IF(D37&lt;=0,0,MIN(G37+N(H37),D37+F37))</f>
        <v/>
      </c>
      <c r="K37" s="16">
        <f>IF(J37&lt;=0,0,MAX(0,J37-F37))</f>
        <v/>
      </c>
      <c r="L37" s="20">
        <f>IF(D37&lt;=0,0,MAX(0,D37-K37))</f>
        <v/>
      </c>
      <c r="M37" s="21">
        <f>IF(OR(L37&lt;=0,G37&lt;=L37*E37/12),0,MAX(0,ROUNDUP(-LN(1-L37*(E37/12)/G37)/LN(1+E37/12),0)))</f>
        <v/>
      </c>
    </row>
    <row r="38" ht="18" customHeight="1">
      <c r="A38" s="22" t="n">
        <v>36</v>
      </c>
      <c r="B38" s="23">
        <f>IF(C38&lt;=Parametry!$C$6,DATE(Parametry!$C$12+INT((Parametry!$C$13+36-2)/12),MOD(Parametry!$C$13+36-2,12)+1,Parametry!$C$11),"")</f>
        <v/>
      </c>
      <c r="C38" s="24" t="n">
        <v>36</v>
      </c>
      <c r="D38" s="25">
        <f>IF(C38&lt;=Parametry!$C$6,L37,0)</f>
        <v/>
      </c>
      <c r="E38" s="26">
        <f>IF(OR(D38&lt;=0,C38&gt;Parametry!$C$6),0,IF(C38&lt;=Parametry!$C$9,Parametry!$C$8,Parametry!$C$10))</f>
        <v/>
      </c>
      <c r="F38" s="25">
        <f>IF(D38&lt;=0,0,D38*E38/12)</f>
        <v/>
      </c>
      <c r="G38" s="25">
        <f>IF(OR(D38&lt;=0,C38&gt;Parametry!$C$6),0,ROUND(-PMT(E38/12,MAX(1,Parametry!$C$6-C38+1),D38),2))</f>
        <v/>
      </c>
      <c r="H38" s="18" t="n"/>
      <c r="I38" s="19">
        <f>IF(OR(L38&lt;=0,C38&gt;=Parametry!$C$6),0,ROUND(-PMT(IF(C38+1&lt;=Parametry!$C$9,Parametry!$C$8,Parametry!$C$10)/12,MAX(1,Parametry!$C$6-C38),L38),2))</f>
        <v/>
      </c>
      <c r="J38" s="27">
        <f>IF(D38&lt;=0,0,MIN(G38+N(H38),D38+F38))</f>
        <v/>
      </c>
      <c r="K38" s="25">
        <f>IF(J38&lt;=0,0,MAX(0,J38-F38))</f>
        <v/>
      </c>
      <c r="L38" s="27">
        <f>IF(D38&lt;=0,0,MAX(0,D38-K38))</f>
        <v/>
      </c>
      <c r="M38" s="28">
        <f>IF(OR(L38&lt;=0,G38&lt;=L38*E38/12),0,MAX(0,ROUNDUP(-LN(1-L38*(E38/12)/G38)/LN(1+E38/12),0)))</f>
        <v/>
      </c>
    </row>
    <row r="39" ht="18" customHeight="1">
      <c r="A39" s="13" t="n">
        <v>37</v>
      </c>
      <c r="B39" s="14">
        <f>IF(C39&lt;=Parametry!$C$6,DATE(Parametry!$C$12+INT((Parametry!$C$13+37-2)/12),MOD(Parametry!$C$13+37-2,12)+1,Parametry!$C$11),"")</f>
        <v/>
      </c>
      <c r="C39" s="15" t="n">
        <v>37</v>
      </c>
      <c r="D39" s="16">
        <f>IF(C39&lt;=Parametry!$C$6,L38,0)</f>
        <v/>
      </c>
      <c r="E39" s="17">
        <f>IF(OR(D39&lt;=0,C39&gt;Parametry!$C$6),0,IF(C39&lt;=Parametry!$C$9,Parametry!$C$8,Parametry!$C$10))</f>
        <v/>
      </c>
      <c r="F39" s="16">
        <f>IF(D39&lt;=0,0,D39*E39/12)</f>
        <v/>
      </c>
      <c r="G39" s="16">
        <f>IF(OR(D39&lt;=0,C39&gt;Parametry!$C$6),0,ROUND(-PMT(E39/12,MAX(1,Parametry!$C$6-C39+1),D39),2))</f>
        <v/>
      </c>
      <c r="H39" s="18" t="n"/>
      <c r="I39" s="19">
        <f>IF(OR(L39&lt;=0,C39&gt;=Parametry!$C$6),0,ROUND(-PMT(IF(C39+1&lt;=Parametry!$C$9,Parametry!$C$8,Parametry!$C$10)/12,MAX(1,Parametry!$C$6-C39),L39),2))</f>
        <v/>
      </c>
      <c r="J39" s="20">
        <f>IF(D39&lt;=0,0,MIN(G39+N(H39),D39+F39))</f>
        <v/>
      </c>
      <c r="K39" s="16">
        <f>IF(J39&lt;=0,0,MAX(0,J39-F39))</f>
        <v/>
      </c>
      <c r="L39" s="20">
        <f>IF(D39&lt;=0,0,MAX(0,D39-K39))</f>
        <v/>
      </c>
      <c r="M39" s="21">
        <f>IF(OR(L39&lt;=0,G39&lt;=L39*E39/12),0,MAX(0,ROUNDUP(-LN(1-L39*(E39/12)/G39)/LN(1+E39/12),0)))</f>
        <v/>
      </c>
    </row>
    <row r="40" ht="18" customHeight="1">
      <c r="A40" s="22" t="n">
        <v>38</v>
      </c>
      <c r="B40" s="23">
        <f>IF(C40&lt;=Parametry!$C$6,DATE(Parametry!$C$12+INT((Parametry!$C$13+38-2)/12),MOD(Parametry!$C$13+38-2,12)+1,Parametry!$C$11),"")</f>
        <v/>
      </c>
      <c r="C40" s="24" t="n">
        <v>38</v>
      </c>
      <c r="D40" s="25">
        <f>IF(C40&lt;=Parametry!$C$6,L39,0)</f>
        <v/>
      </c>
      <c r="E40" s="26">
        <f>IF(OR(D40&lt;=0,C40&gt;Parametry!$C$6),0,IF(C40&lt;=Parametry!$C$9,Parametry!$C$8,Parametry!$C$10))</f>
        <v/>
      </c>
      <c r="F40" s="25">
        <f>IF(D40&lt;=0,0,D40*E40/12)</f>
        <v/>
      </c>
      <c r="G40" s="25">
        <f>IF(OR(D40&lt;=0,C40&gt;Parametry!$C$6),0,ROUND(-PMT(E40/12,MAX(1,Parametry!$C$6-C40+1),D40),2))</f>
        <v/>
      </c>
      <c r="H40" s="18" t="n"/>
      <c r="I40" s="19">
        <f>IF(OR(L40&lt;=0,C40&gt;=Parametry!$C$6),0,ROUND(-PMT(IF(C40+1&lt;=Parametry!$C$9,Parametry!$C$8,Parametry!$C$10)/12,MAX(1,Parametry!$C$6-C40),L40),2))</f>
        <v/>
      </c>
      <c r="J40" s="27">
        <f>IF(D40&lt;=0,0,MIN(G40+N(H40),D40+F40))</f>
        <v/>
      </c>
      <c r="K40" s="25">
        <f>IF(J40&lt;=0,0,MAX(0,J40-F40))</f>
        <v/>
      </c>
      <c r="L40" s="27">
        <f>IF(D40&lt;=0,0,MAX(0,D40-K40))</f>
        <v/>
      </c>
      <c r="M40" s="28">
        <f>IF(OR(L40&lt;=0,G40&lt;=L40*E40/12),0,MAX(0,ROUNDUP(-LN(1-L40*(E40/12)/G40)/LN(1+E40/12),0)))</f>
        <v/>
      </c>
    </row>
    <row r="41" ht="18" customHeight="1">
      <c r="A41" s="13" t="n">
        <v>39</v>
      </c>
      <c r="B41" s="14">
        <f>IF(C41&lt;=Parametry!$C$6,DATE(Parametry!$C$12+INT((Parametry!$C$13+39-2)/12),MOD(Parametry!$C$13+39-2,12)+1,Parametry!$C$11),"")</f>
        <v/>
      </c>
      <c r="C41" s="15" t="n">
        <v>39</v>
      </c>
      <c r="D41" s="16">
        <f>IF(C41&lt;=Parametry!$C$6,L40,0)</f>
        <v/>
      </c>
      <c r="E41" s="17">
        <f>IF(OR(D41&lt;=0,C41&gt;Parametry!$C$6),0,IF(C41&lt;=Parametry!$C$9,Parametry!$C$8,Parametry!$C$10))</f>
        <v/>
      </c>
      <c r="F41" s="16">
        <f>IF(D41&lt;=0,0,D41*E41/12)</f>
        <v/>
      </c>
      <c r="G41" s="16">
        <f>IF(OR(D41&lt;=0,C41&gt;Parametry!$C$6),0,ROUND(-PMT(E41/12,MAX(1,Parametry!$C$6-C41+1),D41),2))</f>
        <v/>
      </c>
      <c r="H41" s="18" t="n"/>
      <c r="I41" s="19">
        <f>IF(OR(L41&lt;=0,C41&gt;=Parametry!$C$6),0,ROUND(-PMT(IF(C41+1&lt;=Parametry!$C$9,Parametry!$C$8,Parametry!$C$10)/12,MAX(1,Parametry!$C$6-C41),L41),2))</f>
        <v/>
      </c>
      <c r="J41" s="20">
        <f>IF(D41&lt;=0,0,MIN(G41+N(H41),D41+F41))</f>
        <v/>
      </c>
      <c r="K41" s="16">
        <f>IF(J41&lt;=0,0,MAX(0,J41-F41))</f>
        <v/>
      </c>
      <c r="L41" s="20">
        <f>IF(D41&lt;=0,0,MAX(0,D41-K41))</f>
        <v/>
      </c>
      <c r="M41" s="21">
        <f>IF(OR(L41&lt;=0,G41&lt;=L41*E41/12),0,MAX(0,ROUNDUP(-LN(1-L41*(E41/12)/G41)/LN(1+E41/12),0)))</f>
        <v/>
      </c>
    </row>
    <row r="42" ht="18" customHeight="1">
      <c r="A42" s="22" t="n">
        <v>40</v>
      </c>
      <c r="B42" s="23">
        <f>IF(C42&lt;=Parametry!$C$6,DATE(Parametry!$C$12+INT((Parametry!$C$13+40-2)/12),MOD(Parametry!$C$13+40-2,12)+1,Parametry!$C$11),"")</f>
        <v/>
      </c>
      <c r="C42" s="24" t="n">
        <v>40</v>
      </c>
      <c r="D42" s="25">
        <f>IF(C42&lt;=Parametry!$C$6,L41,0)</f>
        <v/>
      </c>
      <c r="E42" s="26">
        <f>IF(OR(D42&lt;=0,C42&gt;Parametry!$C$6),0,IF(C42&lt;=Parametry!$C$9,Parametry!$C$8,Parametry!$C$10))</f>
        <v/>
      </c>
      <c r="F42" s="25">
        <f>IF(D42&lt;=0,0,D42*E42/12)</f>
        <v/>
      </c>
      <c r="G42" s="25">
        <f>IF(OR(D42&lt;=0,C42&gt;Parametry!$C$6),0,ROUND(-PMT(E42/12,MAX(1,Parametry!$C$6-C42+1),D42),2))</f>
        <v/>
      </c>
      <c r="H42" s="18" t="n"/>
      <c r="I42" s="19">
        <f>IF(OR(L42&lt;=0,C42&gt;=Parametry!$C$6),0,ROUND(-PMT(IF(C42+1&lt;=Parametry!$C$9,Parametry!$C$8,Parametry!$C$10)/12,MAX(1,Parametry!$C$6-C42),L42),2))</f>
        <v/>
      </c>
      <c r="J42" s="27">
        <f>IF(D42&lt;=0,0,MIN(G42+N(H42),D42+F42))</f>
        <v/>
      </c>
      <c r="K42" s="25">
        <f>IF(J42&lt;=0,0,MAX(0,J42-F42))</f>
        <v/>
      </c>
      <c r="L42" s="27">
        <f>IF(D42&lt;=0,0,MAX(0,D42-K42))</f>
        <v/>
      </c>
      <c r="M42" s="28">
        <f>IF(OR(L42&lt;=0,G42&lt;=L42*E42/12),0,MAX(0,ROUNDUP(-LN(1-L42*(E42/12)/G42)/LN(1+E42/12),0)))</f>
        <v/>
      </c>
    </row>
    <row r="43" ht="18" customHeight="1">
      <c r="A43" s="13" t="n">
        <v>41</v>
      </c>
      <c r="B43" s="14">
        <f>IF(C43&lt;=Parametry!$C$6,DATE(Parametry!$C$12+INT((Parametry!$C$13+41-2)/12),MOD(Parametry!$C$13+41-2,12)+1,Parametry!$C$11),"")</f>
        <v/>
      </c>
      <c r="C43" s="15" t="n">
        <v>41</v>
      </c>
      <c r="D43" s="16">
        <f>IF(C43&lt;=Parametry!$C$6,L42,0)</f>
        <v/>
      </c>
      <c r="E43" s="17">
        <f>IF(OR(D43&lt;=0,C43&gt;Parametry!$C$6),0,IF(C43&lt;=Parametry!$C$9,Parametry!$C$8,Parametry!$C$10))</f>
        <v/>
      </c>
      <c r="F43" s="16">
        <f>IF(D43&lt;=0,0,D43*E43/12)</f>
        <v/>
      </c>
      <c r="G43" s="16">
        <f>IF(OR(D43&lt;=0,C43&gt;Parametry!$C$6),0,ROUND(-PMT(E43/12,MAX(1,Parametry!$C$6-C43+1),D43),2))</f>
        <v/>
      </c>
      <c r="H43" s="18" t="n"/>
      <c r="I43" s="19">
        <f>IF(OR(L43&lt;=0,C43&gt;=Parametry!$C$6),0,ROUND(-PMT(IF(C43+1&lt;=Parametry!$C$9,Parametry!$C$8,Parametry!$C$10)/12,MAX(1,Parametry!$C$6-C43),L43),2))</f>
        <v/>
      </c>
      <c r="J43" s="20">
        <f>IF(D43&lt;=0,0,MIN(G43+N(H43),D43+F43))</f>
        <v/>
      </c>
      <c r="K43" s="16">
        <f>IF(J43&lt;=0,0,MAX(0,J43-F43))</f>
        <v/>
      </c>
      <c r="L43" s="20">
        <f>IF(D43&lt;=0,0,MAX(0,D43-K43))</f>
        <v/>
      </c>
      <c r="M43" s="21">
        <f>IF(OR(L43&lt;=0,G43&lt;=L43*E43/12),0,MAX(0,ROUNDUP(-LN(1-L43*(E43/12)/G43)/LN(1+E43/12),0)))</f>
        <v/>
      </c>
    </row>
    <row r="44" ht="18" customHeight="1">
      <c r="A44" s="22" t="n">
        <v>42</v>
      </c>
      <c r="B44" s="23">
        <f>IF(C44&lt;=Parametry!$C$6,DATE(Parametry!$C$12+INT((Parametry!$C$13+42-2)/12),MOD(Parametry!$C$13+42-2,12)+1,Parametry!$C$11),"")</f>
        <v/>
      </c>
      <c r="C44" s="24" t="n">
        <v>42</v>
      </c>
      <c r="D44" s="25">
        <f>IF(C44&lt;=Parametry!$C$6,L43,0)</f>
        <v/>
      </c>
      <c r="E44" s="26">
        <f>IF(OR(D44&lt;=0,C44&gt;Parametry!$C$6),0,IF(C44&lt;=Parametry!$C$9,Parametry!$C$8,Parametry!$C$10))</f>
        <v/>
      </c>
      <c r="F44" s="25">
        <f>IF(D44&lt;=0,0,D44*E44/12)</f>
        <v/>
      </c>
      <c r="G44" s="25">
        <f>IF(OR(D44&lt;=0,C44&gt;Parametry!$C$6),0,ROUND(-PMT(E44/12,MAX(1,Parametry!$C$6-C44+1),D44),2))</f>
        <v/>
      </c>
      <c r="H44" s="18" t="n"/>
      <c r="I44" s="19">
        <f>IF(OR(L44&lt;=0,C44&gt;=Parametry!$C$6),0,ROUND(-PMT(IF(C44+1&lt;=Parametry!$C$9,Parametry!$C$8,Parametry!$C$10)/12,MAX(1,Parametry!$C$6-C44),L44),2))</f>
        <v/>
      </c>
      <c r="J44" s="27">
        <f>IF(D44&lt;=0,0,MIN(G44+N(H44),D44+F44))</f>
        <v/>
      </c>
      <c r="K44" s="25">
        <f>IF(J44&lt;=0,0,MAX(0,J44-F44))</f>
        <v/>
      </c>
      <c r="L44" s="27">
        <f>IF(D44&lt;=0,0,MAX(0,D44-K44))</f>
        <v/>
      </c>
      <c r="M44" s="28">
        <f>IF(OR(L44&lt;=0,G44&lt;=L44*E44/12),0,MAX(0,ROUNDUP(-LN(1-L44*(E44/12)/G44)/LN(1+E44/12),0)))</f>
        <v/>
      </c>
    </row>
    <row r="45" ht="18" customHeight="1">
      <c r="A45" s="13" t="n">
        <v>43</v>
      </c>
      <c r="B45" s="14">
        <f>IF(C45&lt;=Parametry!$C$6,DATE(Parametry!$C$12+INT((Parametry!$C$13+43-2)/12),MOD(Parametry!$C$13+43-2,12)+1,Parametry!$C$11),"")</f>
        <v/>
      </c>
      <c r="C45" s="15" t="n">
        <v>43</v>
      </c>
      <c r="D45" s="16">
        <f>IF(C45&lt;=Parametry!$C$6,L44,0)</f>
        <v/>
      </c>
      <c r="E45" s="17">
        <f>IF(OR(D45&lt;=0,C45&gt;Parametry!$C$6),0,IF(C45&lt;=Parametry!$C$9,Parametry!$C$8,Parametry!$C$10))</f>
        <v/>
      </c>
      <c r="F45" s="16">
        <f>IF(D45&lt;=0,0,D45*E45/12)</f>
        <v/>
      </c>
      <c r="G45" s="16">
        <f>IF(OR(D45&lt;=0,C45&gt;Parametry!$C$6),0,ROUND(-PMT(E45/12,MAX(1,Parametry!$C$6-C45+1),D45),2))</f>
        <v/>
      </c>
      <c r="H45" s="18" t="n"/>
      <c r="I45" s="19">
        <f>IF(OR(L45&lt;=0,C45&gt;=Parametry!$C$6),0,ROUND(-PMT(IF(C45+1&lt;=Parametry!$C$9,Parametry!$C$8,Parametry!$C$10)/12,MAX(1,Parametry!$C$6-C45),L45),2))</f>
        <v/>
      </c>
      <c r="J45" s="20">
        <f>IF(D45&lt;=0,0,MIN(G45+N(H45),D45+F45))</f>
        <v/>
      </c>
      <c r="K45" s="16">
        <f>IF(J45&lt;=0,0,MAX(0,J45-F45))</f>
        <v/>
      </c>
      <c r="L45" s="20">
        <f>IF(D45&lt;=0,0,MAX(0,D45-K45))</f>
        <v/>
      </c>
      <c r="M45" s="21">
        <f>IF(OR(L45&lt;=0,G45&lt;=L45*E45/12),0,MAX(0,ROUNDUP(-LN(1-L45*(E45/12)/G45)/LN(1+E45/12),0)))</f>
        <v/>
      </c>
    </row>
    <row r="46" ht="18" customHeight="1">
      <c r="A46" s="22" t="n">
        <v>44</v>
      </c>
      <c r="B46" s="23">
        <f>IF(C46&lt;=Parametry!$C$6,DATE(Parametry!$C$12+INT((Parametry!$C$13+44-2)/12),MOD(Parametry!$C$13+44-2,12)+1,Parametry!$C$11),"")</f>
        <v/>
      </c>
      <c r="C46" s="24" t="n">
        <v>44</v>
      </c>
      <c r="D46" s="25">
        <f>IF(C46&lt;=Parametry!$C$6,L45,0)</f>
        <v/>
      </c>
      <c r="E46" s="26">
        <f>IF(OR(D46&lt;=0,C46&gt;Parametry!$C$6),0,IF(C46&lt;=Parametry!$C$9,Parametry!$C$8,Parametry!$C$10))</f>
        <v/>
      </c>
      <c r="F46" s="25">
        <f>IF(D46&lt;=0,0,D46*E46/12)</f>
        <v/>
      </c>
      <c r="G46" s="25">
        <f>IF(OR(D46&lt;=0,C46&gt;Parametry!$C$6),0,ROUND(-PMT(E46/12,MAX(1,Parametry!$C$6-C46+1),D46),2))</f>
        <v/>
      </c>
      <c r="H46" s="18" t="n"/>
      <c r="I46" s="19">
        <f>IF(OR(L46&lt;=0,C46&gt;=Parametry!$C$6),0,ROUND(-PMT(IF(C46+1&lt;=Parametry!$C$9,Parametry!$C$8,Parametry!$C$10)/12,MAX(1,Parametry!$C$6-C46),L46),2))</f>
        <v/>
      </c>
      <c r="J46" s="27">
        <f>IF(D46&lt;=0,0,MIN(G46+N(H46),D46+F46))</f>
        <v/>
      </c>
      <c r="K46" s="25">
        <f>IF(J46&lt;=0,0,MAX(0,J46-F46))</f>
        <v/>
      </c>
      <c r="L46" s="27">
        <f>IF(D46&lt;=0,0,MAX(0,D46-K46))</f>
        <v/>
      </c>
      <c r="M46" s="28">
        <f>IF(OR(L46&lt;=0,G46&lt;=L46*E46/12),0,MAX(0,ROUNDUP(-LN(1-L46*(E46/12)/G46)/LN(1+E46/12),0)))</f>
        <v/>
      </c>
    </row>
    <row r="47" ht="18" customHeight="1">
      <c r="A47" s="13" t="n">
        <v>45</v>
      </c>
      <c r="B47" s="14">
        <f>IF(C47&lt;=Parametry!$C$6,DATE(Parametry!$C$12+INT((Parametry!$C$13+45-2)/12),MOD(Parametry!$C$13+45-2,12)+1,Parametry!$C$11),"")</f>
        <v/>
      </c>
      <c r="C47" s="15" t="n">
        <v>45</v>
      </c>
      <c r="D47" s="16">
        <f>IF(C47&lt;=Parametry!$C$6,L46,0)</f>
        <v/>
      </c>
      <c r="E47" s="17">
        <f>IF(OR(D47&lt;=0,C47&gt;Parametry!$C$6),0,IF(C47&lt;=Parametry!$C$9,Parametry!$C$8,Parametry!$C$10))</f>
        <v/>
      </c>
      <c r="F47" s="16">
        <f>IF(D47&lt;=0,0,D47*E47/12)</f>
        <v/>
      </c>
      <c r="G47" s="16">
        <f>IF(OR(D47&lt;=0,C47&gt;Parametry!$C$6),0,ROUND(-PMT(E47/12,MAX(1,Parametry!$C$6-C47+1),D47),2))</f>
        <v/>
      </c>
      <c r="H47" s="18" t="n"/>
      <c r="I47" s="19">
        <f>IF(OR(L47&lt;=0,C47&gt;=Parametry!$C$6),0,ROUND(-PMT(IF(C47+1&lt;=Parametry!$C$9,Parametry!$C$8,Parametry!$C$10)/12,MAX(1,Parametry!$C$6-C47),L47),2))</f>
        <v/>
      </c>
      <c r="J47" s="20">
        <f>IF(D47&lt;=0,0,MIN(G47+N(H47),D47+F47))</f>
        <v/>
      </c>
      <c r="K47" s="16">
        <f>IF(J47&lt;=0,0,MAX(0,J47-F47))</f>
        <v/>
      </c>
      <c r="L47" s="20">
        <f>IF(D47&lt;=0,0,MAX(0,D47-K47))</f>
        <v/>
      </c>
      <c r="M47" s="21">
        <f>IF(OR(L47&lt;=0,G47&lt;=L47*E47/12),0,MAX(0,ROUNDUP(-LN(1-L47*(E47/12)/G47)/LN(1+E47/12),0)))</f>
        <v/>
      </c>
    </row>
    <row r="48" ht="18" customHeight="1">
      <c r="A48" s="22" t="n">
        <v>46</v>
      </c>
      <c r="B48" s="23">
        <f>IF(C48&lt;=Parametry!$C$6,DATE(Parametry!$C$12+INT((Parametry!$C$13+46-2)/12),MOD(Parametry!$C$13+46-2,12)+1,Parametry!$C$11),"")</f>
        <v/>
      </c>
      <c r="C48" s="24" t="n">
        <v>46</v>
      </c>
      <c r="D48" s="25">
        <f>IF(C48&lt;=Parametry!$C$6,L47,0)</f>
        <v/>
      </c>
      <c r="E48" s="26">
        <f>IF(OR(D48&lt;=0,C48&gt;Parametry!$C$6),0,IF(C48&lt;=Parametry!$C$9,Parametry!$C$8,Parametry!$C$10))</f>
        <v/>
      </c>
      <c r="F48" s="25">
        <f>IF(D48&lt;=0,0,D48*E48/12)</f>
        <v/>
      </c>
      <c r="G48" s="25">
        <f>IF(OR(D48&lt;=0,C48&gt;Parametry!$C$6),0,ROUND(-PMT(E48/12,MAX(1,Parametry!$C$6-C48+1),D48),2))</f>
        <v/>
      </c>
      <c r="H48" s="18" t="n"/>
      <c r="I48" s="19">
        <f>IF(OR(L48&lt;=0,C48&gt;=Parametry!$C$6),0,ROUND(-PMT(IF(C48+1&lt;=Parametry!$C$9,Parametry!$C$8,Parametry!$C$10)/12,MAX(1,Parametry!$C$6-C48),L48),2))</f>
        <v/>
      </c>
      <c r="J48" s="27">
        <f>IF(D48&lt;=0,0,MIN(G48+N(H48),D48+F48))</f>
        <v/>
      </c>
      <c r="K48" s="25">
        <f>IF(J48&lt;=0,0,MAX(0,J48-F48))</f>
        <v/>
      </c>
      <c r="L48" s="27">
        <f>IF(D48&lt;=0,0,MAX(0,D48-K48))</f>
        <v/>
      </c>
      <c r="M48" s="28">
        <f>IF(OR(L48&lt;=0,G48&lt;=L48*E48/12),0,MAX(0,ROUNDUP(-LN(1-L48*(E48/12)/G48)/LN(1+E48/12),0)))</f>
        <v/>
      </c>
    </row>
    <row r="49" ht="18" customHeight="1">
      <c r="A49" s="13" t="n">
        <v>47</v>
      </c>
      <c r="B49" s="14">
        <f>IF(C49&lt;=Parametry!$C$6,DATE(Parametry!$C$12+INT((Parametry!$C$13+47-2)/12),MOD(Parametry!$C$13+47-2,12)+1,Parametry!$C$11),"")</f>
        <v/>
      </c>
      <c r="C49" s="15" t="n">
        <v>47</v>
      </c>
      <c r="D49" s="16">
        <f>IF(C49&lt;=Parametry!$C$6,L48,0)</f>
        <v/>
      </c>
      <c r="E49" s="17">
        <f>IF(OR(D49&lt;=0,C49&gt;Parametry!$C$6),0,IF(C49&lt;=Parametry!$C$9,Parametry!$C$8,Parametry!$C$10))</f>
        <v/>
      </c>
      <c r="F49" s="16">
        <f>IF(D49&lt;=0,0,D49*E49/12)</f>
        <v/>
      </c>
      <c r="G49" s="16">
        <f>IF(OR(D49&lt;=0,C49&gt;Parametry!$C$6),0,ROUND(-PMT(E49/12,MAX(1,Parametry!$C$6-C49+1),D49),2))</f>
        <v/>
      </c>
      <c r="H49" s="18" t="n"/>
      <c r="I49" s="19">
        <f>IF(OR(L49&lt;=0,C49&gt;=Parametry!$C$6),0,ROUND(-PMT(IF(C49+1&lt;=Parametry!$C$9,Parametry!$C$8,Parametry!$C$10)/12,MAX(1,Parametry!$C$6-C49),L49),2))</f>
        <v/>
      </c>
      <c r="J49" s="20">
        <f>IF(D49&lt;=0,0,MIN(G49+N(H49),D49+F49))</f>
        <v/>
      </c>
      <c r="K49" s="16">
        <f>IF(J49&lt;=0,0,MAX(0,J49-F49))</f>
        <v/>
      </c>
      <c r="L49" s="20">
        <f>IF(D49&lt;=0,0,MAX(0,D49-K49))</f>
        <v/>
      </c>
      <c r="M49" s="21">
        <f>IF(OR(L49&lt;=0,G49&lt;=L49*E49/12),0,MAX(0,ROUNDUP(-LN(1-L49*(E49/12)/G49)/LN(1+E49/12),0)))</f>
        <v/>
      </c>
    </row>
    <row r="50" ht="18" customHeight="1">
      <c r="A50" s="22" t="n">
        <v>48</v>
      </c>
      <c r="B50" s="23">
        <f>IF(C50&lt;=Parametry!$C$6,DATE(Parametry!$C$12+INT((Parametry!$C$13+48-2)/12),MOD(Parametry!$C$13+48-2,12)+1,Parametry!$C$11),"")</f>
        <v/>
      </c>
      <c r="C50" s="24" t="n">
        <v>48</v>
      </c>
      <c r="D50" s="25">
        <f>IF(C50&lt;=Parametry!$C$6,L49,0)</f>
        <v/>
      </c>
      <c r="E50" s="26">
        <f>IF(OR(D50&lt;=0,C50&gt;Parametry!$C$6),0,IF(C50&lt;=Parametry!$C$9,Parametry!$C$8,Parametry!$C$10))</f>
        <v/>
      </c>
      <c r="F50" s="25">
        <f>IF(D50&lt;=0,0,D50*E50/12)</f>
        <v/>
      </c>
      <c r="G50" s="25">
        <f>IF(OR(D50&lt;=0,C50&gt;Parametry!$C$6),0,ROUND(-PMT(E50/12,MAX(1,Parametry!$C$6-C50+1),D50),2))</f>
        <v/>
      </c>
      <c r="H50" s="18" t="n"/>
      <c r="I50" s="19">
        <f>IF(OR(L50&lt;=0,C50&gt;=Parametry!$C$6),0,ROUND(-PMT(IF(C50+1&lt;=Parametry!$C$9,Parametry!$C$8,Parametry!$C$10)/12,MAX(1,Parametry!$C$6-C50),L50),2))</f>
        <v/>
      </c>
      <c r="J50" s="27">
        <f>IF(D50&lt;=0,0,MIN(G50+N(H50),D50+F50))</f>
        <v/>
      </c>
      <c r="K50" s="25">
        <f>IF(J50&lt;=0,0,MAX(0,J50-F50))</f>
        <v/>
      </c>
      <c r="L50" s="27">
        <f>IF(D50&lt;=0,0,MAX(0,D50-K50))</f>
        <v/>
      </c>
      <c r="M50" s="28">
        <f>IF(OR(L50&lt;=0,G50&lt;=L50*E50/12),0,MAX(0,ROUNDUP(-LN(1-L50*(E50/12)/G50)/LN(1+E50/12),0)))</f>
        <v/>
      </c>
    </row>
    <row r="51" ht="18" customHeight="1">
      <c r="A51" s="13" t="n">
        <v>49</v>
      </c>
      <c r="B51" s="14">
        <f>IF(C51&lt;=Parametry!$C$6,DATE(Parametry!$C$12+INT((Parametry!$C$13+49-2)/12),MOD(Parametry!$C$13+49-2,12)+1,Parametry!$C$11),"")</f>
        <v/>
      </c>
      <c r="C51" s="15" t="n">
        <v>49</v>
      </c>
      <c r="D51" s="16">
        <f>IF(C51&lt;=Parametry!$C$6,L50,0)</f>
        <v/>
      </c>
      <c r="E51" s="17">
        <f>IF(OR(D51&lt;=0,C51&gt;Parametry!$C$6),0,IF(C51&lt;=Parametry!$C$9,Parametry!$C$8,Parametry!$C$10))</f>
        <v/>
      </c>
      <c r="F51" s="16">
        <f>IF(D51&lt;=0,0,D51*E51/12)</f>
        <v/>
      </c>
      <c r="G51" s="16">
        <f>IF(OR(D51&lt;=0,C51&gt;Parametry!$C$6),0,ROUND(-PMT(E51/12,MAX(1,Parametry!$C$6-C51+1),D51),2))</f>
        <v/>
      </c>
      <c r="H51" s="18" t="n"/>
      <c r="I51" s="19">
        <f>IF(OR(L51&lt;=0,C51&gt;=Parametry!$C$6),0,ROUND(-PMT(IF(C51+1&lt;=Parametry!$C$9,Parametry!$C$8,Parametry!$C$10)/12,MAX(1,Parametry!$C$6-C51),L51),2))</f>
        <v/>
      </c>
      <c r="J51" s="20">
        <f>IF(D51&lt;=0,0,MIN(G51+N(H51),D51+F51))</f>
        <v/>
      </c>
      <c r="K51" s="16">
        <f>IF(J51&lt;=0,0,MAX(0,J51-F51))</f>
        <v/>
      </c>
      <c r="L51" s="20">
        <f>IF(D51&lt;=0,0,MAX(0,D51-K51))</f>
        <v/>
      </c>
      <c r="M51" s="21">
        <f>IF(OR(L51&lt;=0,G51&lt;=L51*E51/12),0,MAX(0,ROUNDUP(-LN(1-L51*(E51/12)/G51)/LN(1+E51/12),0)))</f>
        <v/>
      </c>
    </row>
    <row r="52" ht="18" customHeight="1">
      <c r="A52" s="22" t="n">
        <v>50</v>
      </c>
      <c r="B52" s="23">
        <f>IF(C52&lt;=Parametry!$C$6,DATE(Parametry!$C$12+INT((Parametry!$C$13+50-2)/12),MOD(Parametry!$C$13+50-2,12)+1,Parametry!$C$11),"")</f>
        <v/>
      </c>
      <c r="C52" s="24" t="n">
        <v>50</v>
      </c>
      <c r="D52" s="25">
        <f>IF(C52&lt;=Parametry!$C$6,L51,0)</f>
        <v/>
      </c>
      <c r="E52" s="26">
        <f>IF(OR(D52&lt;=0,C52&gt;Parametry!$C$6),0,IF(C52&lt;=Parametry!$C$9,Parametry!$C$8,Parametry!$C$10))</f>
        <v/>
      </c>
      <c r="F52" s="25">
        <f>IF(D52&lt;=0,0,D52*E52/12)</f>
        <v/>
      </c>
      <c r="G52" s="25">
        <f>IF(OR(D52&lt;=0,C52&gt;Parametry!$C$6),0,ROUND(-PMT(E52/12,MAX(1,Parametry!$C$6-C52+1),D52),2))</f>
        <v/>
      </c>
      <c r="H52" s="18" t="n"/>
      <c r="I52" s="19">
        <f>IF(OR(L52&lt;=0,C52&gt;=Parametry!$C$6),0,ROUND(-PMT(IF(C52+1&lt;=Parametry!$C$9,Parametry!$C$8,Parametry!$C$10)/12,MAX(1,Parametry!$C$6-C52),L52),2))</f>
        <v/>
      </c>
      <c r="J52" s="27">
        <f>IF(D52&lt;=0,0,MIN(G52+N(H52),D52+F52))</f>
        <v/>
      </c>
      <c r="K52" s="25">
        <f>IF(J52&lt;=0,0,MAX(0,J52-F52))</f>
        <v/>
      </c>
      <c r="L52" s="27">
        <f>IF(D52&lt;=0,0,MAX(0,D52-K52))</f>
        <v/>
      </c>
      <c r="M52" s="28">
        <f>IF(OR(L52&lt;=0,G52&lt;=L52*E52/12),0,MAX(0,ROUNDUP(-LN(1-L52*(E52/12)/G52)/LN(1+E52/12),0)))</f>
        <v/>
      </c>
    </row>
    <row r="53" ht="18" customHeight="1">
      <c r="A53" s="13" t="n">
        <v>51</v>
      </c>
      <c r="B53" s="14">
        <f>IF(C53&lt;=Parametry!$C$6,DATE(Parametry!$C$12+INT((Parametry!$C$13+51-2)/12),MOD(Parametry!$C$13+51-2,12)+1,Parametry!$C$11),"")</f>
        <v/>
      </c>
      <c r="C53" s="15" t="n">
        <v>51</v>
      </c>
      <c r="D53" s="16">
        <f>IF(C53&lt;=Parametry!$C$6,L52,0)</f>
        <v/>
      </c>
      <c r="E53" s="17">
        <f>IF(OR(D53&lt;=0,C53&gt;Parametry!$C$6),0,IF(C53&lt;=Parametry!$C$9,Parametry!$C$8,Parametry!$C$10))</f>
        <v/>
      </c>
      <c r="F53" s="16">
        <f>IF(D53&lt;=0,0,D53*E53/12)</f>
        <v/>
      </c>
      <c r="G53" s="16">
        <f>IF(OR(D53&lt;=0,C53&gt;Parametry!$C$6),0,ROUND(-PMT(E53/12,MAX(1,Parametry!$C$6-C53+1),D53),2))</f>
        <v/>
      </c>
      <c r="H53" s="18" t="n"/>
      <c r="I53" s="19">
        <f>IF(OR(L53&lt;=0,C53&gt;=Parametry!$C$6),0,ROUND(-PMT(IF(C53+1&lt;=Parametry!$C$9,Parametry!$C$8,Parametry!$C$10)/12,MAX(1,Parametry!$C$6-C53),L53),2))</f>
        <v/>
      </c>
      <c r="J53" s="20">
        <f>IF(D53&lt;=0,0,MIN(G53+N(H53),D53+F53))</f>
        <v/>
      </c>
      <c r="K53" s="16">
        <f>IF(J53&lt;=0,0,MAX(0,J53-F53))</f>
        <v/>
      </c>
      <c r="L53" s="20">
        <f>IF(D53&lt;=0,0,MAX(0,D53-K53))</f>
        <v/>
      </c>
      <c r="M53" s="21">
        <f>IF(OR(L53&lt;=0,G53&lt;=L53*E53/12),0,MAX(0,ROUNDUP(-LN(1-L53*(E53/12)/G53)/LN(1+E53/12),0)))</f>
        <v/>
      </c>
    </row>
    <row r="54" ht="18" customHeight="1">
      <c r="A54" s="22" t="n">
        <v>52</v>
      </c>
      <c r="B54" s="23">
        <f>IF(C54&lt;=Parametry!$C$6,DATE(Parametry!$C$12+INT((Parametry!$C$13+52-2)/12),MOD(Parametry!$C$13+52-2,12)+1,Parametry!$C$11),"")</f>
        <v/>
      </c>
      <c r="C54" s="24" t="n">
        <v>52</v>
      </c>
      <c r="D54" s="25">
        <f>IF(C54&lt;=Parametry!$C$6,L53,0)</f>
        <v/>
      </c>
      <c r="E54" s="26">
        <f>IF(OR(D54&lt;=0,C54&gt;Parametry!$C$6),0,IF(C54&lt;=Parametry!$C$9,Parametry!$C$8,Parametry!$C$10))</f>
        <v/>
      </c>
      <c r="F54" s="25">
        <f>IF(D54&lt;=0,0,D54*E54/12)</f>
        <v/>
      </c>
      <c r="G54" s="25">
        <f>IF(OR(D54&lt;=0,C54&gt;Parametry!$C$6),0,ROUND(-PMT(E54/12,MAX(1,Parametry!$C$6-C54+1),D54),2))</f>
        <v/>
      </c>
      <c r="H54" s="18" t="n"/>
      <c r="I54" s="19">
        <f>IF(OR(L54&lt;=0,C54&gt;=Parametry!$C$6),0,ROUND(-PMT(IF(C54+1&lt;=Parametry!$C$9,Parametry!$C$8,Parametry!$C$10)/12,MAX(1,Parametry!$C$6-C54),L54),2))</f>
        <v/>
      </c>
      <c r="J54" s="27">
        <f>IF(D54&lt;=0,0,MIN(G54+N(H54),D54+F54))</f>
        <v/>
      </c>
      <c r="K54" s="25">
        <f>IF(J54&lt;=0,0,MAX(0,J54-F54))</f>
        <v/>
      </c>
      <c r="L54" s="27">
        <f>IF(D54&lt;=0,0,MAX(0,D54-K54))</f>
        <v/>
      </c>
      <c r="M54" s="28">
        <f>IF(OR(L54&lt;=0,G54&lt;=L54*E54/12),0,MAX(0,ROUNDUP(-LN(1-L54*(E54/12)/G54)/LN(1+E54/12),0)))</f>
        <v/>
      </c>
    </row>
    <row r="55" ht="18" customHeight="1">
      <c r="A55" s="13" t="n">
        <v>53</v>
      </c>
      <c r="B55" s="14">
        <f>IF(C55&lt;=Parametry!$C$6,DATE(Parametry!$C$12+INT((Parametry!$C$13+53-2)/12),MOD(Parametry!$C$13+53-2,12)+1,Parametry!$C$11),"")</f>
        <v/>
      </c>
      <c r="C55" s="15" t="n">
        <v>53</v>
      </c>
      <c r="D55" s="16">
        <f>IF(C55&lt;=Parametry!$C$6,L54,0)</f>
        <v/>
      </c>
      <c r="E55" s="17">
        <f>IF(OR(D55&lt;=0,C55&gt;Parametry!$C$6),0,IF(C55&lt;=Parametry!$C$9,Parametry!$C$8,Parametry!$C$10))</f>
        <v/>
      </c>
      <c r="F55" s="16">
        <f>IF(D55&lt;=0,0,D55*E55/12)</f>
        <v/>
      </c>
      <c r="G55" s="16">
        <f>IF(OR(D55&lt;=0,C55&gt;Parametry!$C$6),0,ROUND(-PMT(E55/12,MAX(1,Parametry!$C$6-C55+1),D55),2))</f>
        <v/>
      </c>
      <c r="H55" s="18" t="n"/>
      <c r="I55" s="19">
        <f>IF(OR(L55&lt;=0,C55&gt;=Parametry!$C$6),0,ROUND(-PMT(IF(C55+1&lt;=Parametry!$C$9,Parametry!$C$8,Parametry!$C$10)/12,MAX(1,Parametry!$C$6-C55),L55),2))</f>
        <v/>
      </c>
      <c r="J55" s="20">
        <f>IF(D55&lt;=0,0,MIN(G55+N(H55),D55+F55))</f>
        <v/>
      </c>
      <c r="K55" s="16">
        <f>IF(J55&lt;=0,0,MAX(0,J55-F55))</f>
        <v/>
      </c>
      <c r="L55" s="20">
        <f>IF(D55&lt;=0,0,MAX(0,D55-K55))</f>
        <v/>
      </c>
      <c r="M55" s="21">
        <f>IF(OR(L55&lt;=0,G55&lt;=L55*E55/12),0,MAX(0,ROUNDUP(-LN(1-L55*(E55/12)/G55)/LN(1+E55/12),0)))</f>
        <v/>
      </c>
    </row>
    <row r="56" ht="18" customHeight="1">
      <c r="A56" s="22" t="n">
        <v>54</v>
      </c>
      <c r="B56" s="23">
        <f>IF(C56&lt;=Parametry!$C$6,DATE(Parametry!$C$12+INT((Parametry!$C$13+54-2)/12),MOD(Parametry!$C$13+54-2,12)+1,Parametry!$C$11),"")</f>
        <v/>
      </c>
      <c r="C56" s="24" t="n">
        <v>54</v>
      </c>
      <c r="D56" s="25">
        <f>IF(C56&lt;=Parametry!$C$6,L55,0)</f>
        <v/>
      </c>
      <c r="E56" s="26">
        <f>IF(OR(D56&lt;=0,C56&gt;Parametry!$C$6),0,IF(C56&lt;=Parametry!$C$9,Parametry!$C$8,Parametry!$C$10))</f>
        <v/>
      </c>
      <c r="F56" s="25">
        <f>IF(D56&lt;=0,0,D56*E56/12)</f>
        <v/>
      </c>
      <c r="G56" s="25">
        <f>IF(OR(D56&lt;=0,C56&gt;Parametry!$C$6),0,ROUND(-PMT(E56/12,MAX(1,Parametry!$C$6-C56+1),D56),2))</f>
        <v/>
      </c>
      <c r="H56" s="18" t="n"/>
      <c r="I56" s="19">
        <f>IF(OR(L56&lt;=0,C56&gt;=Parametry!$C$6),0,ROUND(-PMT(IF(C56+1&lt;=Parametry!$C$9,Parametry!$C$8,Parametry!$C$10)/12,MAX(1,Parametry!$C$6-C56),L56),2))</f>
        <v/>
      </c>
      <c r="J56" s="27">
        <f>IF(D56&lt;=0,0,MIN(G56+N(H56),D56+F56))</f>
        <v/>
      </c>
      <c r="K56" s="25">
        <f>IF(J56&lt;=0,0,MAX(0,J56-F56))</f>
        <v/>
      </c>
      <c r="L56" s="27">
        <f>IF(D56&lt;=0,0,MAX(0,D56-K56))</f>
        <v/>
      </c>
      <c r="M56" s="28">
        <f>IF(OR(L56&lt;=0,G56&lt;=L56*E56/12),0,MAX(0,ROUNDUP(-LN(1-L56*(E56/12)/G56)/LN(1+E56/12),0)))</f>
        <v/>
      </c>
    </row>
    <row r="57" ht="18" customHeight="1">
      <c r="A57" s="13" t="n">
        <v>55</v>
      </c>
      <c r="B57" s="14">
        <f>IF(C57&lt;=Parametry!$C$6,DATE(Parametry!$C$12+INT((Parametry!$C$13+55-2)/12),MOD(Parametry!$C$13+55-2,12)+1,Parametry!$C$11),"")</f>
        <v/>
      </c>
      <c r="C57" s="15" t="n">
        <v>55</v>
      </c>
      <c r="D57" s="16">
        <f>IF(C57&lt;=Parametry!$C$6,L56,0)</f>
        <v/>
      </c>
      <c r="E57" s="17">
        <f>IF(OR(D57&lt;=0,C57&gt;Parametry!$C$6),0,IF(C57&lt;=Parametry!$C$9,Parametry!$C$8,Parametry!$C$10))</f>
        <v/>
      </c>
      <c r="F57" s="16">
        <f>IF(D57&lt;=0,0,D57*E57/12)</f>
        <v/>
      </c>
      <c r="G57" s="16">
        <f>IF(OR(D57&lt;=0,C57&gt;Parametry!$C$6),0,ROUND(-PMT(E57/12,MAX(1,Parametry!$C$6-C57+1),D57),2))</f>
        <v/>
      </c>
      <c r="H57" s="18" t="n"/>
      <c r="I57" s="19">
        <f>IF(OR(L57&lt;=0,C57&gt;=Parametry!$C$6),0,ROUND(-PMT(IF(C57+1&lt;=Parametry!$C$9,Parametry!$C$8,Parametry!$C$10)/12,MAX(1,Parametry!$C$6-C57),L57),2))</f>
        <v/>
      </c>
      <c r="J57" s="20">
        <f>IF(D57&lt;=0,0,MIN(G57+N(H57),D57+F57))</f>
        <v/>
      </c>
      <c r="K57" s="16">
        <f>IF(J57&lt;=0,0,MAX(0,J57-F57))</f>
        <v/>
      </c>
      <c r="L57" s="20">
        <f>IF(D57&lt;=0,0,MAX(0,D57-K57))</f>
        <v/>
      </c>
      <c r="M57" s="21">
        <f>IF(OR(L57&lt;=0,G57&lt;=L57*E57/12),0,MAX(0,ROUNDUP(-LN(1-L57*(E57/12)/G57)/LN(1+E57/12),0)))</f>
        <v/>
      </c>
    </row>
    <row r="58" ht="18" customHeight="1">
      <c r="A58" s="22" t="n">
        <v>56</v>
      </c>
      <c r="B58" s="23">
        <f>IF(C58&lt;=Parametry!$C$6,DATE(Parametry!$C$12+INT((Parametry!$C$13+56-2)/12),MOD(Parametry!$C$13+56-2,12)+1,Parametry!$C$11),"")</f>
        <v/>
      </c>
      <c r="C58" s="24" t="n">
        <v>56</v>
      </c>
      <c r="D58" s="25">
        <f>IF(C58&lt;=Parametry!$C$6,L57,0)</f>
        <v/>
      </c>
      <c r="E58" s="26">
        <f>IF(OR(D58&lt;=0,C58&gt;Parametry!$C$6),0,IF(C58&lt;=Parametry!$C$9,Parametry!$C$8,Parametry!$C$10))</f>
        <v/>
      </c>
      <c r="F58" s="25">
        <f>IF(D58&lt;=0,0,D58*E58/12)</f>
        <v/>
      </c>
      <c r="G58" s="25">
        <f>IF(OR(D58&lt;=0,C58&gt;Parametry!$C$6),0,ROUND(-PMT(E58/12,MAX(1,Parametry!$C$6-C58+1),D58),2))</f>
        <v/>
      </c>
      <c r="H58" s="18" t="n"/>
      <c r="I58" s="19">
        <f>IF(OR(L58&lt;=0,C58&gt;=Parametry!$C$6),0,ROUND(-PMT(IF(C58+1&lt;=Parametry!$C$9,Parametry!$C$8,Parametry!$C$10)/12,MAX(1,Parametry!$C$6-C58),L58),2))</f>
        <v/>
      </c>
      <c r="J58" s="27">
        <f>IF(D58&lt;=0,0,MIN(G58+N(H58),D58+F58))</f>
        <v/>
      </c>
      <c r="K58" s="25">
        <f>IF(J58&lt;=0,0,MAX(0,J58-F58))</f>
        <v/>
      </c>
      <c r="L58" s="27">
        <f>IF(D58&lt;=0,0,MAX(0,D58-K58))</f>
        <v/>
      </c>
      <c r="M58" s="28">
        <f>IF(OR(L58&lt;=0,G58&lt;=L58*E58/12),0,MAX(0,ROUNDUP(-LN(1-L58*(E58/12)/G58)/LN(1+E58/12),0)))</f>
        <v/>
      </c>
    </row>
    <row r="59" ht="18" customHeight="1">
      <c r="A59" s="13" t="n">
        <v>57</v>
      </c>
      <c r="B59" s="14">
        <f>IF(C59&lt;=Parametry!$C$6,DATE(Parametry!$C$12+INT((Parametry!$C$13+57-2)/12),MOD(Parametry!$C$13+57-2,12)+1,Parametry!$C$11),"")</f>
        <v/>
      </c>
      <c r="C59" s="15" t="n">
        <v>57</v>
      </c>
      <c r="D59" s="16">
        <f>IF(C59&lt;=Parametry!$C$6,L58,0)</f>
        <v/>
      </c>
      <c r="E59" s="17">
        <f>IF(OR(D59&lt;=0,C59&gt;Parametry!$C$6),0,IF(C59&lt;=Parametry!$C$9,Parametry!$C$8,Parametry!$C$10))</f>
        <v/>
      </c>
      <c r="F59" s="16">
        <f>IF(D59&lt;=0,0,D59*E59/12)</f>
        <v/>
      </c>
      <c r="G59" s="16">
        <f>IF(OR(D59&lt;=0,C59&gt;Parametry!$C$6),0,ROUND(-PMT(E59/12,MAX(1,Parametry!$C$6-C59+1),D59),2))</f>
        <v/>
      </c>
      <c r="H59" s="18" t="n"/>
      <c r="I59" s="19">
        <f>IF(OR(L59&lt;=0,C59&gt;=Parametry!$C$6),0,ROUND(-PMT(IF(C59+1&lt;=Parametry!$C$9,Parametry!$C$8,Parametry!$C$10)/12,MAX(1,Parametry!$C$6-C59),L59),2))</f>
        <v/>
      </c>
      <c r="J59" s="20">
        <f>IF(D59&lt;=0,0,MIN(G59+N(H59),D59+F59))</f>
        <v/>
      </c>
      <c r="K59" s="16">
        <f>IF(J59&lt;=0,0,MAX(0,J59-F59))</f>
        <v/>
      </c>
      <c r="L59" s="20">
        <f>IF(D59&lt;=0,0,MAX(0,D59-K59))</f>
        <v/>
      </c>
      <c r="M59" s="21">
        <f>IF(OR(L59&lt;=0,G59&lt;=L59*E59/12),0,MAX(0,ROUNDUP(-LN(1-L59*(E59/12)/G59)/LN(1+E59/12),0)))</f>
        <v/>
      </c>
    </row>
    <row r="60" ht="18" customHeight="1">
      <c r="A60" s="22" t="n">
        <v>58</v>
      </c>
      <c r="B60" s="23">
        <f>IF(C60&lt;=Parametry!$C$6,DATE(Parametry!$C$12+INT((Parametry!$C$13+58-2)/12),MOD(Parametry!$C$13+58-2,12)+1,Parametry!$C$11),"")</f>
        <v/>
      </c>
      <c r="C60" s="24" t="n">
        <v>58</v>
      </c>
      <c r="D60" s="25">
        <f>IF(C60&lt;=Parametry!$C$6,L59,0)</f>
        <v/>
      </c>
      <c r="E60" s="26">
        <f>IF(OR(D60&lt;=0,C60&gt;Parametry!$C$6),0,IF(C60&lt;=Parametry!$C$9,Parametry!$C$8,Parametry!$C$10))</f>
        <v/>
      </c>
      <c r="F60" s="25">
        <f>IF(D60&lt;=0,0,D60*E60/12)</f>
        <v/>
      </c>
      <c r="G60" s="25">
        <f>IF(OR(D60&lt;=0,C60&gt;Parametry!$C$6),0,ROUND(-PMT(E60/12,MAX(1,Parametry!$C$6-C60+1),D60),2))</f>
        <v/>
      </c>
      <c r="H60" s="18" t="n"/>
      <c r="I60" s="19">
        <f>IF(OR(L60&lt;=0,C60&gt;=Parametry!$C$6),0,ROUND(-PMT(IF(C60+1&lt;=Parametry!$C$9,Parametry!$C$8,Parametry!$C$10)/12,MAX(1,Parametry!$C$6-C60),L60),2))</f>
        <v/>
      </c>
      <c r="J60" s="27">
        <f>IF(D60&lt;=0,0,MIN(G60+N(H60),D60+F60))</f>
        <v/>
      </c>
      <c r="K60" s="25">
        <f>IF(J60&lt;=0,0,MAX(0,J60-F60))</f>
        <v/>
      </c>
      <c r="L60" s="27">
        <f>IF(D60&lt;=0,0,MAX(0,D60-K60))</f>
        <v/>
      </c>
      <c r="M60" s="28">
        <f>IF(OR(L60&lt;=0,G60&lt;=L60*E60/12),0,MAX(0,ROUNDUP(-LN(1-L60*(E60/12)/G60)/LN(1+E60/12),0)))</f>
        <v/>
      </c>
    </row>
    <row r="61" ht="18" customHeight="1">
      <c r="A61" s="13" t="n">
        <v>59</v>
      </c>
      <c r="B61" s="14">
        <f>IF(C61&lt;=Parametry!$C$6,DATE(Parametry!$C$12+INT((Parametry!$C$13+59-2)/12),MOD(Parametry!$C$13+59-2,12)+1,Parametry!$C$11),"")</f>
        <v/>
      </c>
      <c r="C61" s="15" t="n">
        <v>59</v>
      </c>
      <c r="D61" s="16">
        <f>IF(C61&lt;=Parametry!$C$6,L60,0)</f>
        <v/>
      </c>
      <c r="E61" s="17">
        <f>IF(OR(D61&lt;=0,C61&gt;Parametry!$C$6),0,IF(C61&lt;=Parametry!$C$9,Parametry!$C$8,Parametry!$C$10))</f>
        <v/>
      </c>
      <c r="F61" s="16">
        <f>IF(D61&lt;=0,0,D61*E61/12)</f>
        <v/>
      </c>
      <c r="G61" s="16">
        <f>IF(OR(D61&lt;=0,C61&gt;Parametry!$C$6),0,ROUND(-PMT(E61/12,MAX(1,Parametry!$C$6-C61+1),D61),2))</f>
        <v/>
      </c>
      <c r="H61" s="18" t="n"/>
      <c r="I61" s="19">
        <f>IF(OR(L61&lt;=0,C61&gt;=Parametry!$C$6),0,ROUND(-PMT(IF(C61+1&lt;=Parametry!$C$9,Parametry!$C$8,Parametry!$C$10)/12,MAX(1,Parametry!$C$6-C61),L61),2))</f>
        <v/>
      </c>
      <c r="J61" s="20">
        <f>IF(D61&lt;=0,0,MIN(G61+N(H61),D61+F61))</f>
        <v/>
      </c>
      <c r="K61" s="16">
        <f>IF(J61&lt;=0,0,MAX(0,J61-F61))</f>
        <v/>
      </c>
      <c r="L61" s="20">
        <f>IF(D61&lt;=0,0,MAX(0,D61-K61))</f>
        <v/>
      </c>
      <c r="M61" s="21">
        <f>IF(OR(L61&lt;=0,G61&lt;=L61*E61/12),0,MAX(0,ROUNDUP(-LN(1-L61*(E61/12)/G61)/LN(1+E61/12),0)))</f>
        <v/>
      </c>
    </row>
    <row r="62" ht="18" customHeight="1">
      <c r="A62" s="22" t="n">
        <v>60</v>
      </c>
      <c r="B62" s="23">
        <f>IF(C62&lt;=Parametry!$C$6,DATE(Parametry!$C$12+INT((Parametry!$C$13+60-2)/12),MOD(Parametry!$C$13+60-2,12)+1,Parametry!$C$11),"")</f>
        <v/>
      </c>
      <c r="C62" s="24" t="n">
        <v>60</v>
      </c>
      <c r="D62" s="25">
        <f>IF(C62&lt;=Parametry!$C$6,L61,0)</f>
        <v/>
      </c>
      <c r="E62" s="26">
        <f>IF(OR(D62&lt;=0,C62&gt;Parametry!$C$6),0,IF(C62&lt;=Parametry!$C$9,Parametry!$C$8,Parametry!$C$10))</f>
        <v/>
      </c>
      <c r="F62" s="25">
        <f>IF(D62&lt;=0,0,D62*E62/12)</f>
        <v/>
      </c>
      <c r="G62" s="25">
        <f>IF(OR(D62&lt;=0,C62&gt;Parametry!$C$6),0,ROUND(-PMT(E62/12,MAX(1,Parametry!$C$6-C62+1),D62),2))</f>
        <v/>
      </c>
      <c r="H62" s="18" t="n"/>
      <c r="I62" s="19">
        <f>IF(OR(L62&lt;=0,C62&gt;=Parametry!$C$6),0,ROUND(-PMT(IF(C62+1&lt;=Parametry!$C$9,Parametry!$C$8,Parametry!$C$10)/12,MAX(1,Parametry!$C$6-C62),L62),2))</f>
        <v/>
      </c>
      <c r="J62" s="27">
        <f>IF(D62&lt;=0,0,MIN(G62+N(H62),D62+F62))</f>
        <v/>
      </c>
      <c r="K62" s="25">
        <f>IF(J62&lt;=0,0,MAX(0,J62-F62))</f>
        <v/>
      </c>
      <c r="L62" s="27">
        <f>IF(D62&lt;=0,0,MAX(0,D62-K62))</f>
        <v/>
      </c>
      <c r="M62" s="28">
        <f>IF(OR(L62&lt;=0,G62&lt;=L62*E62/12),0,MAX(0,ROUNDUP(-LN(1-L62*(E62/12)/G62)/LN(1+E62/12),0)))</f>
        <v/>
      </c>
    </row>
    <row r="63" ht="18" customHeight="1">
      <c r="A63" s="13" t="n">
        <v>61</v>
      </c>
      <c r="B63" s="14">
        <f>IF(C63&lt;=Parametry!$C$6,DATE(Parametry!$C$12+INT((Parametry!$C$13+61-2)/12),MOD(Parametry!$C$13+61-2,12)+1,Parametry!$C$11),"")</f>
        <v/>
      </c>
      <c r="C63" s="15" t="n">
        <v>61</v>
      </c>
      <c r="D63" s="16">
        <f>IF(C63&lt;=Parametry!$C$6,L62,0)</f>
        <v/>
      </c>
      <c r="E63" s="17">
        <f>IF(OR(D63&lt;=0,C63&gt;Parametry!$C$6),0,IF(C63&lt;=Parametry!$C$9,Parametry!$C$8,Parametry!$C$10))</f>
        <v/>
      </c>
      <c r="F63" s="16">
        <f>IF(D63&lt;=0,0,D63*E63/12)</f>
        <v/>
      </c>
      <c r="G63" s="16">
        <f>IF(OR(D63&lt;=0,C63&gt;Parametry!$C$6),0,ROUND(-PMT(E63/12,MAX(1,Parametry!$C$6-C63+1),D63),2))</f>
        <v/>
      </c>
      <c r="H63" s="18" t="n"/>
      <c r="I63" s="19">
        <f>IF(OR(L63&lt;=0,C63&gt;=Parametry!$C$6),0,ROUND(-PMT(IF(C63+1&lt;=Parametry!$C$9,Parametry!$C$8,Parametry!$C$10)/12,MAX(1,Parametry!$C$6-C63),L63),2))</f>
        <v/>
      </c>
      <c r="J63" s="20">
        <f>IF(D63&lt;=0,0,MIN(G63+N(H63),D63+F63))</f>
        <v/>
      </c>
      <c r="K63" s="16">
        <f>IF(J63&lt;=0,0,MAX(0,J63-F63))</f>
        <v/>
      </c>
      <c r="L63" s="20">
        <f>IF(D63&lt;=0,0,MAX(0,D63-K63))</f>
        <v/>
      </c>
      <c r="M63" s="21">
        <f>IF(OR(L63&lt;=0,G63&lt;=L63*E63/12),0,MAX(0,ROUNDUP(-LN(1-L63*(E63/12)/G63)/LN(1+E63/12),0)))</f>
        <v/>
      </c>
    </row>
    <row r="64" ht="18" customHeight="1">
      <c r="A64" s="22" t="n">
        <v>62</v>
      </c>
      <c r="B64" s="23">
        <f>IF(C64&lt;=Parametry!$C$6,DATE(Parametry!$C$12+INT((Parametry!$C$13+62-2)/12),MOD(Parametry!$C$13+62-2,12)+1,Parametry!$C$11),"")</f>
        <v/>
      </c>
      <c r="C64" s="24" t="n">
        <v>62</v>
      </c>
      <c r="D64" s="25">
        <f>IF(C64&lt;=Parametry!$C$6,L63,0)</f>
        <v/>
      </c>
      <c r="E64" s="26">
        <f>IF(OR(D64&lt;=0,C64&gt;Parametry!$C$6),0,IF(C64&lt;=Parametry!$C$9,Parametry!$C$8,Parametry!$C$10))</f>
        <v/>
      </c>
      <c r="F64" s="25">
        <f>IF(D64&lt;=0,0,D64*E64/12)</f>
        <v/>
      </c>
      <c r="G64" s="25">
        <f>IF(OR(D64&lt;=0,C64&gt;Parametry!$C$6),0,ROUND(-PMT(E64/12,MAX(1,Parametry!$C$6-C64+1),D64),2))</f>
        <v/>
      </c>
      <c r="H64" s="18" t="n"/>
      <c r="I64" s="19">
        <f>IF(OR(L64&lt;=0,C64&gt;=Parametry!$C$6),0,ROUND(-PMT(IF(C64+1&lt;=Parametry!$C$9,Parametry!$C$8,Parametry!$C$10)/12,MAX(1,Parametry!$C$6-C64),L64),2))</f>
        <v/>
      </c>
      <c r="J64" s="27">
        <f>IF(D64&lt;=0,0,MIN(G64+N(H64),D64+F64))</f>
        <v/>
      </c>
      <c r="K64" s="25">
        <f>IF(J64&lt;=0,0,MAX(0,J64-F64))</f>
        <v/>
      </c>
      <c r="L64" s="27">
        <f>IF(D64&lt;=0,0,MAX(0,D64-K64))</f>
        <v/>
      </c>
      <c r="M64" s="28">
        <f>IF(OR(L64&lt;=0,G64&lt;=L64*E64/12),0,MAX(0,ROUNDUP(-LN(1-L64*(E64/12)/G64)/LN(1+E64/12),0)))</f>
        <v/>
      </c>
    </row>
    <row r="65" ht="18" customHeight="1">
      <c r="A65" s="13" t="n">
        <v>63</v>
      </c>
      <c r="B65" s="14">
        <f>IF(C65&lt;=Parametry!$C$6,DATE(Parametry!$C$12+INT((Parametry!$C$13+63-2)/12),MOD(Parametry!$C$13+63-2,12)+1,Parametry!$C$11),"")</f>
        <v/>
      </c>
      <c r="C65" s="15" t="n">
        <v>63</v>
      </c>
      <c r="D65" s="16">
        <f>IF(C65&lt;=Parametry!$C$6,L64,0)</f>
        <v/>
      </c>
      <c r="E65" s="17">
        <f>IF(OR(D65&lt;=0,C65&gt;Parametry!$C$6),0,IF(C65&lt;=Parametry!$C$9,Parametry!$C$8,Parametry!$C$10))</f>
        <v/>
      </c>
      <c r="F65" s="16">
        <f>IF(D65&lt;=0,0,D65*E65/12)</f>
        <v/>
      </c>
      <c r="G65" s="16">
        <f>IF(OR(D65&lt;=0,C65&gt;Parametry!$C$6),0,ROUND(-PMT(E65/12,MAX(1,Parametry!$C$6-C65+1),D65),2))</f>
        <v/>
      </c>
      <c r="H65" s="18" t="n"/>
      <c r="I65" s="19">
        <f>IF(OR(L65&lt;=0,C65&gt;=Parametry!$C$6),0,ROUND(-PMT(IF(C65+1&lt;=Parametry!$C$9,Parametry!$C$8,Parametry!$C$10)/12,MAX(1,Parametry!$C$6-C65),L65),2))</f>
        <v/>
      </c>
      <c r="J65" s="20">
        <f>IF(D65&lt;=0,0,MIN(G65+N(H65),D65+F65))</f>
        <v/>
      </c>
      <c r="K65" s="16">
        <f>IF(J65&lt;=0,0,MAX(0,J65-F65))</f>
        <v/>
      </c>
      <c r="L65" s="20">
        <f>IF(D65&lt;=0,0,MAX(0,D65-K65))</f>
        <v/>
      </c>
      <c r="M65" s="21">
        <f>IF(OR(L65&lt;=0,G65&lt;=L65*E65/12),0,MAX(0,ROUNDUP(-LN(1-L65*(E65/12)/G65)/LN(1+E65/12),0)))</f>
        <v/>
      </c>
    </row>
    <row r="66" ht="18" customHeight="1">
      <c r="A66" s="22" t="n">
        <v>64</v>
      </c>
      <c r="B66" s="23">
        <f>IF(C66&lt;=Parametry!$C$6,DATE(Parametry!$C$12+INT((Parametry!$C$13+64-2)/12),MOD(Parametry!$C$13+64-2,12)+1,Parametry!$C$11),"")</f>
        <v/>
      </c>
      <c r="C66" s="24" t="n">
        <v>64</v>
      </c>
      <c r="D66" s="25">
        <f>IF(C66&lt;=Parametry!$C$6,L65,0)</f>
        <v/>
      </c>
      <c r="E66" s="26">
        <f>IF(OR(D66&lt;=0,C66&gt;Parametry!$C$6),0,IF(C66&lt;=Parametry!$C$9,Parametry!$C$8,Parametry!$C$10))</f>
        <v/>
      </c>
      <c r="F66" s="25">
        <f>IF(D66&lt;=0,0,D66*E66/12)</f>
        <v/>
      </c>
      <c r="G66" s="25">
        <f>IF(OR(D66&lt;=0,C66&gt;Parametry!$C$6),0,ROUND(-PMT(E66/12,MAX(1,Parametry!$C$6-C66+1),D66),2))</f>
        <v/>
      </c>
      <c r="H66" s="18" t="n"/>
      <c r="I66" s="19">
        <f>IF(OR(L66&lt;=0,C66&gt;=Parametry!$C$6),0,ROUND(-PMT(IF(C66+1&lt;=Parametry!$C$9,Parametry!$C$8,Parametry!$C$10)/12,MAX(1,Parametry!$C$6-C66),L66),2))</f>
        <v/>
      </c>
      <c r="J66" s="27">
        <f>IF(D66&lt;=0,0,MIN(G66+N(H66),D66+F66))</f>
        <v/>
      </c>
      <c r="K66" s="25">
        <f>IF(J66&lt;=0,0,MAX(0,J66-F66))</f>
        <v/>
      </c>
      <c r="L66" s="27">
        <f>IF(D66&lt;=0,0,MAX(0,D66-K66))</f>
        <v/>
      </c>
      <c r="M66" s="28">
        <f>IF(OR(L66&lt;=0,G66&lt;=L66*E66/12),0,MAX(0,ROUNDUP(-LN(1-L66*(E66/12)/G66)/LN(1+E66/12),0)))</f>
        <v/>
      </c>
    </row>
    <row r="67" ht="18" customHeight="1">
      <c r="A67" s="13" t="n">
        <v>65</v>
      </c>
      <c r="B67" s="14">
        <f>IF(C67&lt;=Parametry!$C$6,DATE(Parametry!$C$12+INT((Parametry!$C$13+65-2)/12),MOD(Parametry!$C$13+65-2,12)+1,Parametry!$C$11),"")</f>
        <v/>
      </c>
      <c r="C67" s="15" t="n">
        <v>65</v>
      </c>
      <c r="D67" s="16">
        <f>IF(C67&lt;=Parametry!$C$6,L66,0)</f>
        <v/>
      </c>
      <c r="E67" s="17">
        <f>IF(OR(D67&lt;=0,C67&gt;Parametry!$C$6),0,IF(C67&lt;=Parametry!$C$9,Parametry!$C$8,Parametry!$C$10))</f>
        <v/>
      </c>
      <c r="F67" s="16">
        <f>IF(D67&lt;=0,0,D67*E67/12)</f>
        <v/>
      </c>
      <c r="G67" s="16">
        <f>IF(OR(D67&lt;=0,C67&gt;Parametry!$C$6),0,ROUND(-PMT(E67/12,MAX(1,Parametry!$C$6-C67+1),D67),2))</f>
        <v/>
      </c>
      <c r="H67" s="18" t="n"/>
      <c r="I67" s="19">
        <f>IF(OR(L67&lt;=0,C67&gt;=Parametry!$C$6),0,ROUND(-PMT(IF(C67+1&lt;=Parametry!$C$9,Parametry!$C$8,Parametry!$C$10)/12,MAX(1,Parametry!$C$6-C67),L67),2))</f>
        <v/>
      </c>
      <c r="J67" s="20">
        <f>IF(D67&lt;=0,0,MIN(G67+N(H67),D67+F67))</f>
        <v/>
      </c>
      <c r="K67" s="16">
        <f>IF(J67&lt;=0,0,MAX(0,J67-F67))</f>
        <v/>
      </c>
      <c r="L67" s="20">
        <f>IF(D67&lt;=0,0,MAX(0,D67-K67))</f>
        <v/>
      </c>
      <c r="M67" s="21">
        <f>IF(OR(L67&lt;=0,G67&lt;=L67*E67/12),0,MAX(0,ROUNDUP(-LN(1-L67*(E67/12)/G67)/LN(1+E67/12),0)))</f>
        <v/>
      </c>
    </row>
    <row r="68" ht="18" customHeight="1">
      <c r="A68" s="22" t="n">
        <v>66</v>
      </c>
      <c r="B68" s="23">
        <f>IF(C68&lt;=Parametry!$C$6,DATE(Parametry!$C$12+INT((Parametry!$C$13+66-2)/12),MOD(Parametry!$C$13+66-2,12)+1,Parametry!$C$11),"")</f>
        <v/>
      </c>
      <c r="C68" s="24" t="n">
        <v>66</v>
      </c>
      <c r="D68" s="25">
        <f>IF(C68&lt;=Parametry!$C$6,L67,0)</f>
        <v/>
      </c>
      <c r="E68" s="26">
        <f>IF(OR(D68&lt;=0,C68&gt;Parametry!$C$6),0,IF(C68&lt;=Parametry!$C$9,Parametry!$C$8,Parametry!$C$10))</f>
        <v/>
      </c>
      <c r="F68" s="25">
        <f>IF(D68&lt;=0,0,D68*E68/12)</f>
        <v/>
      </c>
      <c r="G68" s="25">
        <f>IF(OR(D68&lt;=0,C68&gt;Parametry!$C$6),0,ROUND(-PMT(E68/12,MAX(1,Parametry!$C$6-C68+1),D68),2))</f>
        <v/>
      </c>
      <c r="H68" s="18" t="n"/>
      <c r="I68" s="19">
        <f>IF(OR(L68&lt;=0,C68&gt;=Parametry!$C$6),0,ROUND(-PMT(IF(C68+1&lt;=Parametry!$C$9,Parametry!$C$8,Parametry!$C$10)/12,MAX(1,Parametry!$C$6-C68),L68),2))</f>
        <v/>
      </c>
      <c r="J68" s="27">
        <f>IF(D68&lt;=0,0,MIN(G68+N(H68),D68+F68))</f>
        <v/>
      </c>
      <c r="K68" s="25">
        <f>IF(J68&lt;=0,0,MAX(0,J68-F68))</f>
        <v/>
      </c>
      <c r="L68" s="27">
        <f>IF(D68&lt;=0,0,MAX(0,D68-K68))</f>
        <v/>
      </c>
      <c r="M68" s="28">
        <f>IF(OR(L68&lt;=0,G68&lt;=L68*E68/12),0,MAX(0,ROUNDUP(-LN(1-L68*(E68/12)/G68)/LN(1+E68/12),0)))</f>
        <v/>
      </c>
    </row>
    <row r="69" ht="18" customHeight="1">
      <c r="A69" s="13" t="n">
        <v>67</v>
      </c>
      <c r="B69" s="14">
        <f>IF(C69&lt;=Parametry!$C$6,DATE(Parametry!$C$12+INT((Parametry!$C$13+67-2)/12),MOD(Parametry!$C$13+67-2,12)+1,Parametry!$C$11),"")</f>
        <v/>
      </c>
      <c r="C69" s="15" t="n">
        <v>67</v>
      </c>
      <c r="D69" s="16">
        <f>IF(C69&lt;=Parametry!$C$6,L68,0)</f>
        <v/>
      </c>
      <c r="E69" s="17">
        <f>IF(OR(D69&lt;=0,C69&gt;Parametry!$C$6),0,IF(C69&lt;=Parametry!$C$9,Parametry!$C$8,Parametry!$C$10))</f>
        <v/>
      </c>
      <c r="F69" s="16">
        <f>IF(D69&lt;=0,0,D69*E69/12)</f>
        <v/>
      </c>
      <c r="G69" s="16">
        <f>IF(OR(D69&lt;=0,C69&gt;Parametry!$C$6),0,ROUND(-PMT(E69/12,MAX(1,Parametry!$C$6-C69+1),D69),2))</f>
        <v/>
      </c>
      <c r="H69" s="18" t="n"/>
      <c r="I69" s="19">
        <f>IF(OR(L69&lt;=0,C69&gt;=Parametry!$C$6),0,ROUND(-PMT(IF(C69+1&lt;=Parametry!$C$9,Parametry!$C$8,Parametry!$C$10)/12,MAX(1,Parametry!$C$6-C69),L69),2))</f>
        <v/>
      </c>
      <c r="J69" s="20">
        <f>IF(D69&lt;=0,0,MIN(G69+N(H69),D69+F69))</f>
        <v/>
      </c>
      <c r="K69" s="16">
        <f>IF(J69&lt;=0,0,MAX(0,J69-F69))</f>
        <v/>
      </c>
      <c r="L69" s="20">
        <f>IF(D69&lt;=0,0,MAX(0,D69-K69))</f>
        <v/>
      </c>
      <c r="M69" s="21">
        <f>IF(OR(L69&lt;=0,G69&lt;=L69*E69/12),0,MAX(0,ROUNDUP(-LN(1-L69*(E69/12)/G69)/LN(1+E69/12),0)))</f>
        <v/>
      </c>
    </row>
    <row r="70" ht="18" customHeight="1">
      <c r="A70" s="22" t="n">
        <v>68</v>
      </c>
      <c r="B70" s="23">
        <f>IF(C70&lt;=Parametry!$C$6,DATE(Parametry!$C$12+INT((Parametry!$C$13+68-2)/12),MOD(Parametry!$C$13+68-2,12)+1,Parametry!$C$11),"")</f>
        <v/>
      </c>
      <c r="C70" s="24" t="n">
        <v>68</v>
      </c>
      <c r="D70" s="25">
        <f>IF(C70&lt;=Parametry!$C$6,L69,0)</f>
        <v/>
      </c>
      <c r="E70" s="26">
        <f>IF(OR(D70&lt;=0,C70&gt;Parametry!$C$6),0,IF(C70&lt;=Parametry!$C$9,Parametry!$C$8,Parametry!$C$10))</f>
        <v/>
      </c>
      <c r="F70" s="25">
        <f>IF(D70&lt;=0,0,D70*E70/12)</f>
        <v/>
      </c>
      <c r="G70" s="25">
        <f>IF(OR(D70&lt;=0,C70&gt;Parametry!$C$6),0,ROUND(-PMT(E70/12,MAX(1,Parametry!$C$6-C70+1),D70),2))</f>
        <v/>
      </c>
      <c r="H70" s="18" t="n"/>
      <c r="I70" s="19">
        <f>IF(OR(L70&lt;=0,C70&gt;=Parametry!$C$6),0,ROUND(-PMT(IF(C70+1&lt;=Parametry!$C$9,Parametry!$C$8,Parametry!$C$10)/12,MAX(1,Parametry!$C$6-C70),L70),2))</f>
        <v/>
      </c>
      <c r="J70" s="27">
        <f>IF(D70&lt;=0,0,MIN(G70+N(H70),D70+F70))</f>
        <v/>
      </c>
      <c r="K70" s="25">
        <f>IF(J70&lt;=0,0,MAX(0,J70-F70))</f>
        <v/>
      </c>
      <c r="L70" s="27">
        <f>IF(D70&lt;=0,0,MAX(0,D70-K70))</f>
        <v/>
      </c>
      <c r="M70" s="28">
        <f>IF(OR(L70&lt;=0,G70&lt;=L70*E70/12),0,MAX(0,ROUNDUP(-LN(1-L70*(E70/12)/G70)/LN(1+E70/12),0)))</f>
        <v/>
      </c>
    </row>
    <row r="71" ht="18" customHeight="1">
      <c r="A71" s="13" t="n">
        <v>69</v>
      </c>
      <c r="B71" s="14">
        <f>IF(C71&lt;=Parametry!$C$6,DATE(Parametry!$C$12+INT((Parametry!$C$13+69-2)/12),MOD(Parametry!$C$13+69-2,12)+1,Parametry!$C$11),"")</f>
        <v/>
      </c>
      <c r="C71" s="15" t="n">
        <v>69</v>
      </c>
      <c r="D71" s="16">
        <f>IF(C71&lt;=Parametry!$C$6,L70,0)</f>
        <v/>
      </c>
      <c r="E71" s="17">
        <f>IF(OR(D71&lt;=0,C71&gt;Parametry!$C$6),0,IF(C71&lt;=Parametry!$C$9,Parametry!$C$8,Parametry!$C$10))</f>
        <v/>
      </c>
      <c r="F71" s="16">
        <f>IF(D71&lt;=0,0,D71*E71/12)</f>
        <v/>
      </c>
      <c r="G71" s="16">
        <f>IF(OR(D71&lt;=0,C71&gt;Parametry!$C$6),0,ROUND(-PMT(E71/12,MAX(1,Parametry!$C$6-C71+1),D71),2))</f>
        <v/>
      </c>
      <c r="H71" s="18" t="n"/>
      <c r="I71" s="19">
        <f>IF(OR(L71&lt;=0,C71&gt;=Parametry!$C$6),0,ROUND(-PMT(IF(C71+1&lt;=Parametry!$C$9,Parametry!$C$8,Parametry!$C$10)/12,MAX(1,Parametry!$C$6-C71),L71),2))</f>
        <v/>
      </c>
      <c r="J71" s="20">
        <f>IF(D71&lt;=0,0,MIN(G71+N(H71),D71+F71))</f>
        <v/>
      </c>
      <c r="K71" s="16">
        <f>IF(J71&lt;=0,0,MAX(0,J71-F71))</f>
        <v/>
      </c>
      <c r="L71" s="20">
        <f>IF(D71&lt;=0,0,MAX(0,D71-K71))</f>
        <v/>
      </c>
      <c r="M71" s="21">
        <f>IF(OR(L71&lt;=0,G71&lt;=L71*E71/12),0,MAX(0,ROUNDUP(-LN(1-L71*(E71/12)/G71)/LN(1+E71/12),0)))</f>
        <v/>
      </c>
    </row>
    <row r="72" ht="18" customHeight="1">
      <c r="A72" s="22" t="n">
        <v>70</v>
      </c>
      <c r="B72" s="23">
        <f>IF(C72&lt;=Parametry!$C$6,DATE(Parametry!$C$12+INT((Parametry!$C$13+70-2)/12),MOD(Parametry!$C$13+70-2,12)+1,Parametry!$C$11),"")</f>
        <v/>
      </c>
      <c r="C72" s="24" t="n">
        <v>70</v>
      </c>
      <c r="D72" s="25">
        <f>IF(C72&lt;=Parametry!$C$6,L71,0)</f>
        <v/>
      </c>
      <c r="E72" s="26">
        <f>IF(OR(D72&lt;=0,C72&gt;Parametry!$C$6),0,IF(C72&lt;=Parametry!$C$9,Parametry!$C$8,Parametry!$C$10))</f>
        <v/>
      </c>
      <c r="F72" s="25">
        <f>IF(D72&lt;=0,0,D72*E72/12)</f>
        <v/>
      </c>
      <c r="G72" s="25">
        <f>IF(OR(D72&lt;=0,C72&gt;Parametry!$C$6),0,ROUND(-PMT(E72/12,MAX(1,Parametry!$C$6-C72+1),D72),2))</f>
        <v/>
      </c>
      <c r="H72" s="18" t="n"/>
      <c r="I72" s="19">
        <f>IF(OR(L72&lt;=0,C72&gt;=Parametry!$C$6),0,ROUND(-PMT(IF(C72+1&lt;=Parametry!$C$9,Parametry!$C$8,Parametry!$C$10)/12,MAX(1,Parametry!$C$6-C72),L72),2))</f>
        <v/>
      </c>
      <c r="J72" s="27">
        <f>IF(D72&lt;=0,0,MIN(G72+N(H72),D72+F72))</f>
        <v/>
      </c>
      <c r="K72" s="25">
        <f>IF(J72&lt;=0,0,MAX(0,J72-F72))</f>
        <v/>
      </c>
      <c r="L72" s="27">
        <f>IF(D72&lt;=0,0,MAX(0,D72-K72))</f>
        <v/>
      </c>
      <c r="M72" s="28">
        <f>IF(OR(L72&lt;=0,G72&lt;=L72*E72/12),0,MAX(0,ROUNDUP(-LN(1-L72*(E72/12)/G72)/LN(1+E72/12),0)))</f>
        <v/>
      </c>
    </row>
    <row r="73" ht="18" customHeight="1">
      <c r="A73" s="13" t="n">
        <v>71</v>
      </c>
      <c r="B73" s="14">
        <f>IF(C73&lt;=Parametry!$C$6,DATE(Parametry!$C$12+INT((Parametry!$C$13+71-2)/12),MOD(Parametry!$C$13+71-2,12)+1,Parametry!$C$11),"")</f>
        <v/>
      </c>
      <c r="C73" s="15" t="n">
        <v>71</v>
      </c>
      <c r="D73" s="16">
        <f>IF(C73&lt;=Parametry!$C$6,L72,0)</f>
        <v/>
      </c>
      <c r="E73" s="17">
        <f>IF(OR(D73&lt;=0,C73&gt;Parametry!$C$6),0,IF(C73&lt;=Parametry!$C$9,Parametry!$C$8,Parametry!$C$10))</f>
        <v/>
      </c>
      <c r="F73" s="16">
        <f>IF(D73&lt;=0,0,D73*E73/12)</f>
        <v/>
      </c>
      <c r="G73" s="16">
        <f>IF(OR(D73&lt;=0,C73&gt;Parametry!$C$6),0,ROUND(-PMT(E73/12,MAX(1,Parametry!$C$6-C73+1),D73),2))</f>
        <v/>
      </c>
      <c r="H73" s="18" t="n"/>
      <c r="I73" s="19">
        <f>IF(OR(L73&lt;=0,C73&gt;=Parametry!$C$6),0,ROUND(-PMT(IF(C73+1&lt;=Parametry!$C$9,Parametry!$C$8,Parametry!$C$10)/12,MAX(1,Parametry!$C$6-C73),L73),2))</f>
        <v/>
      </c>
      <c r="J73" s="20">
        <f>IF(D73&lt;=0,0,MIN(G73+N(H73),D73+F73))</f>
        <v/>
      </c>
      <c r="K73" s="16">
        <f>IF(J73&lt;=0,0,MAX(0,J73-F73))</f>
        <v/>
      </c>
      <c r="L73" s="20">
        <f>IF(D73&lt;=0,0,MAX(0,D73-K73))</f>
        <v/>
      </c>
      <c r="M73" s="21">
        <f>IF(OR(L73&lt;=0,G73&lt;=L73*E73/12),0,MAX(0,ROUNDUP(-LN(1-L73*(E73/12)/G73)/LN(1+E73/12),0)))</f>
        <v/>
      </c>
    </row>
    <row r="74" ht="18" customHeight="1">
      <c r="A74" s="22" t="n">
        <v>72</v>
      </c>
      <c r="B74" s="23">
        <f>IF(C74&lt;=Parametry!$C$6,DATE(Parametry!$C$12+INT((Parametry!$C$13+72-2)/12),MOD(Parametry!$C$13+72-2,12)+1,Parametry!$C$11),"")</f>
        <v/>
      </c>
      <c r="C74" s="24" t="n">
        <v>72</v>
      </c>
      <c r="D74" s="25">
        <f>IF(C74&lt;=Parametry!$C$6,L73,0)</f>
        <v/>
      </c>
      <c r="E74" s="26">
        <f>IF(OR(D74&lt;=0,C74&gt;Parametry!$C$6),0,IF(C74&lt;=Parametry!$C$9,Parametry!$C$8,Parametry!$C$10))</f>
        <v/>
      </c>
      <c r="F74" s="25">
        <f>IF(D74&lt;=0,0,D74*E74/12)</f>
        <v/>
      </c>
      <c r="G74" s="25">
        <f>IF(OR(D74&lt;=0,C74&gt;Parametry!$C$6),0,ROUND(-PMT(E74/12,MAX(1,Parametry!$C$6-C74+1),D74),2))</f>
        <v/>
      </c>
      <c r="H74" s="18" t="n"/>
      <c r="I74" s="19">
        <f>IF(OR(L74&lt;=0,C74&gt;=Parametry!$C$6),0,ROUND(-PMT(IF(C74+1&lt;=Parametry!$C$9,Parametry!$C$8,Parametry!$C$10)/12,MAX(1,Parametry!$C$6-C74),L74),2))</f>
        <v/>
      </c>
      <c r="J74" s="27">
        <f>IF(D74&lt;=0,0,MIN(G74+N(H74),D74+F74))</f>
        <v/>
      </c>
      <c r="K74" s="25">
        <f>IF(J74&lt;=0,0,MAX(0,J74-F74))</f>
        <v/>
      </c>
      <c r="L74" s="27">
        <f>IF(D74&lt;=0,0,MAX(0,D74-K74))</f>
        <v/>
      </c>
      <c r="M74" s="28">
        <f>IF(OR(L74&lt;=0,G74&lt;=L74*E74/12),0,MAX(0,ROUNDUP(-LN(1-L74*(E74/12)/G74)/LN(1+E74/12),0)))</f>
        <v/>
      </c>
    </row>
    <row r="75" ht="18" customHeight="1">
      <c r="A75" s="13" t="n">
        <v>73</v>
      </c>
      <c r="B75" s="14">
        <f>IF(C75&lt;=Parametry!$C$6,DATE(Parametry!$C$12+INT((Parametry!$C$13+73-2)/12),MOD(Parametry!$C$13+73-2,12)+1,Parametry!$C$11),"")</f>
        <v/>
      </c>
      <c r="C75" s="15" t="n">
        <v>73</v>
      </c>
      <c r="D75" s="16">
        <f>IF(C75&lt;=Parametry!$C$6,L74,0)</f>
        <v/>
      </c>
      <c r="E75" s="17">
        <f>IF(OR(D75&lt;=0,C75&gt;Parametry!$C$6),0,IF(C75&lt;=Parametry!$C$9,Parametry!$C$8,Parametry!$C$10))</f>
        <v/>
      </c>
      <c r="F75" s="16">
        <f>IF(D75&lt;=0,0,D75*E75/12)</f>
        <v/>
      </c>
      <c r="G75" s="16">
        <f>IF(OR(D75&lt;=0,C75&gt;Parametry!$C$6),0,ROUND(-PMT(E75/12,MAX(1,Parametry!$C$6-C75+1),D75),2))</f>
        <v/>
      </c>
      <c r="H75" s="18" t="n"/>
      <c r="I75" s="19">
        <f>IF(OR(L75&lt;=0,C75&gt;=Parametry!$C$6),0,ROUND(-PMT(IF(C75+1&lt;=Parametry!$C$9,Parametry!$C$8,Parametry!$C$10)/12,MAX(1,Parametry!$C$6-C75),L75),2))</f>
        <v/>
      </c>
      <c r="J75" s="20">
        <f>IF(D75&lt;=0,0,MIN(G75+N(H75),D75+F75))</f>
        <v/>
      </c>
      <c r="K75" s="16">
        <f>IF(J75&lt;=0,0,MAX(0,J75-F75))</f>
        <v/>
      </c>
      <c r="L75" s="20">
        <f>IF(D75&lt;=0,0,MAX(0,D75-K75))</f>
        <v/>
      </c>
      <c r="M75" s="21">
        <f>IF(OR(L75&lt;=0,G75&lt;=L75*E75/12),0,MAX(0,ROUNDUP(-LN(1-L75*(E75/12)/G75)/LN(1+E75/12),0)))</f>
        <v/>
      </c>
    </row>
    <row r="76" ht="18" customHeight="1">
      <c r="A76" s="22" t="n">
        <v>74</v>
      </c>
      <c r="B76" s="23">
        <f>IF(C76&lt;=Parametry!$C$6,DATE(Parametry!$C$12+INT((Parametry!$C$13+74-2)/12),MOD(Parametry!$C$13+74-2,12)+1,Parametry!$C$11),"")</f>
        <v/>
      </c>
      <c r="C76" s="24" t="n">
        <v>74</v>
      </c>
      <c r="D76" s="25">
        <f>IF(C76&lt;=Parametry!$C$6,L75,0)</f>
        <v/>
      </c>
      <c r="E76" s="26">
        <f>IF(OR(D76&lt;=0,C76&gt;Parametry!$C$6),0,IF(C76&lt;=Parametry!$C$9,Parametry!$C$8,Parametry!$C$10))</f>
        <v/>
      </c>
      <c r="F76" s="25">
        <f>IF(D76&lt;=0,0,D76*E76/12)</f>
        <v/>
      </c>
      <c r="G76" s="25">
        <f>IF(OR(D76&lt;=0,C76&gt;Parametry!$C$6),0,ROUND(-PMT(E76/12,MAX(1,Parametry!$C$6-C76+1),D76),2))</f>
        <v/>
      </c>
      <c r="H76" s="18" t="n"/>
      <c r="I76" s="19">
        <f>IF(OR(L76&lt;=0,C76&gt;=Parametry!$C$6),0,ROUND(-PMT(IF(C76+1&lt;=Parametry!$C$9,Parametry!$C$8,Parametry!$C$10)/12,MAX(1,Parametry!$C$6-C76),L76),2))</f>
        <v/>
      </c>
      <c r="J76" s="27">
        <f>IF(D76&lt;=0,0,MIN(G76+N(H76),D76+F76))</f>
        <v/>
      </c>
      <c r="K76" s="25">
        <f>IF(J76&lt;=0,0,MAX(0,J76-F76))</f>
        <v/>
      </c>
      <c r="L76" s="27">
        <f>IF(D76&lt;=0,0,MAX(0,D76-K76))</f>
        <v/>
      </c>
      <c r="M76" s="28">
        <f>IF(OR(L76&lt;=0,G76&lt;=L76*E76/12),0,MAX(0,ROUNDUP(-LN(1-L76*(E76/12)/G76)/LN(1+E76/12),0)))</f>
        <v/>
      </c>
    </row>
    <row r="77" ht="18" customHeight="1">
      <c r="A77" s="13" t="n">
        <v>75</v>
      </c>
      <c r="B77" s="14">
        <f>IF(C77&lt;=Parametry!$C$6,DATE(Parametry!$C$12+INT((Parametry!$C$13+75-2)/12),MOD(Parametry!$C$13+75-2,12)+1,Parametry!$C$11),"")</f>
        <v/>
      </c>
      <c r="C77" s="15" t="n">
        <v>75</v>
      </c>
      <c r="D77" s="16">
        <f>IF(C77&lt;=Parametry!$C$6,L76,0)</f>
        <v/>
      </c>
      <c r="E77" s="17">
        <f>IF(OR(D77&lt;=0,C77&gt;Parametry!$C$6),0,IF(C77&lt;=Parametry!$C$9,Parametry!$C$8,Parametry!$C$10))</f>
        <v/>
      </c>
      <c r="F77" s="16">
        <f>IF(D77&lt;=0,0,D77*E77/12)</f>
        <v/>
      </c>
      <c r="G77" s="16">
        <f>IF(OR(D77&lt;=0,C77&gt;Parametry!$C$6),0,ROUND(-PMT(E77/12,MAX(1,Parametry!$C$6-C77+1),D77),2))</f>
        <v/>
      </c>
      <c r="H77" s="18" t="n"/>
      <c r="I77" s="19">
        <f>IF(OR(L77&lt;=0,C77&gt;=Parametry!$C$6),0,ROUND(-PMT(IF(C77+1&lt;=Parametry!$C$9,Parametry!$C$8,Parametry!$C$10)/12,MAX(1,Parametry!$C$6-C77),L77),2))</f>
        <v/>
      </c>
      <c r="J77" s="20">
        <f>IF(D77&lt;=0,0,MIN(G77+N(H77),D77+F77))</f>
        <v/>
      </c>
      <c r="K77" s="16">
        <f>IF(J77&lt;=0,0,MAX(0,J77-F77))</f>
        <v/>
      </c>
      <c r="L77" s="20">
        <f>IF(D77&lt;=0,0,MAX(0,D77-K77))</f>
        <v/>
      </c>
      <c r="M77" s="21">
        <f>IF(OR(L77&lt;=0,G77&lt;=L77*E77/12),0,MAX(0,ROUNDUP(-LN(1-L77*(E77/12)/G77)/LN(1+E77/12),0)))</f>
        <v/>
      </c>
    </row>
    <row r="78" ht="18" customHeight="1">
      <c r="A78" s="22" t="n">
        <v>76</v>
      </c>
      <c r="B78" s="23">
        <f>IF(C78&lt;=Parametry!$C$6,DATE(Parametry!$C$12+INT((Parametry!$C$13+76-2)/12),MOD(Parametry!$C$13+76-2,12)+1,Parametry!$C$11),"")</f>
        <v/>
      </c>
      <c r="C78" s="24" t="n">
        <v>76</v>
      </c>
      <c r="D78" s="25">
        <f>IF(C78&lt;=Parametry!$C$6,L77,0)</f>
        <v/>
      </c>
      <c r="E78" s="26">
        <f>IF(OR(D78&lt;=0,C78&gt;Parametry!$C$6),0,IF(C78&lt;=Parametry!$C$9,Parametry!$C$8,Parametry!$C$10))</f>
        <v/>
      </c>
      <c r="F78" s="25">
        <f>IF(D78&lt;=0,0,D78*E78/12)</f>
        <v/>
      </c>
      <c r="G78" s="25">
        <f>IF(OR(D78&lt;=0,C78&gt;Parametry!$C$6),0,ROUND(-PMT(E78/12,MAX(1,Parametry!$C$6-C78+1),D78),2))</f>
        <v/>
      </c>
      <c r="H78" s="18" t="n"/>
      <c r="I78" s="19">
        <f>IF(OR(L78&lt;=0,C78&gt;=Parametry!$C$6),0,ROUND(-PMT(IF(C78+1&lt;=Parametry!$C$9,Parametry!$C$8,Parametry!$C$10)/12,MAX(1,Parametry!$C$6-C78),L78),2))</f>
        <v/>
      </c>
      <c r="J78" s="27">
        <f>IF(D78&lt;=0,0,MIN(G78+N(H78),D78+F78))</f>
        <v/>
      </c>
      <c r="K78" s="25">
        <f>IF(J78&lt;=0,0,MAX(0,J78-F78))</f>
        <v/>
      </c>
      <c r="L78" s="27">
        <f>IF(D78&lt;=0,0,MAX(0,D78-K78))</f>
        <v/>
      </c>
      <c r="M78" s="28">
        <f>IF(OR(L78&lt;=0,G78&lt;=L78*E78/12),0,MAX(0,ROUNDUP(-LN(1-L78*(E78/12)/G78)/LN(1+E78/12),0)))</f>
        <v/>
      </c>
    </row>
    <row r="79" ht="18" customHeight="1">
      <c r="A79" s="13" t="n">
        <v>77</v>
      </c>
      <c r="B79" s="14">
        <f>IF(C79&lt;=Parametry!$C$6,DATE(Parametry!$C$12+INT((Parametry!$C$13+77-2)/12),MOD(Parametry!$C$13+77-2,12)+1,Parametry!$C$11),"")</f>
        <v/>
      </c>
      <c r="C79" s="15" t="n">
        <v>77</v>
      </c>
      <c r="D79" s="16">
        <f>IF(C79&lt;=Parametry!$C$6,L78,0)</f>
        <v/>
      </c>
      <c r="E79" s="17">
        <f>IF(OR(D79&lt;=0,C79&gt;Parametry!$C$6),0,IF(C79&lt;=Parametry!$C$9,Parametry!$C$8,Parametry!$C$10))</f>
        <v/>
      </c>
      <c r="F79" s="16">
        <f>IF(D79&lt;=0,0,D79*E79/12)</f>
        <v/>
      </c>
      <c r="G79" s="16">
        <f>IF(OR(D79&lt;=0,C79&gt;Parametry!$C$6),0,ROUND(-PMT(E79/12,MAX(1,Parametry!$C$6-C79+1),D79),2))</f>
        <v/>
      </c>
      <c r="H79" s="18" t="n"/>
      <c r="I79" s="19">
        <f>IF(OR(L79&lt;=0,C79&gt;=Parametry!$C$6),0,ROUND(-PMT(IF(C79+1&lt;=Parametry!$C$9,Parametry!$C$8,Parametry!$C$10)/12,MAX(1,Parametry!$C$6-C79),L79),2))</f>
        <v/>
      </c>
      <c r="J79" s="20">
        <f>IF(D79&lt;=0,0,MIN(G79+N(H79),D79+F79))</f>
        <v/>
      </c>
      <c r="K79" s="16">
        <f>IF(J79&lt;=0,0,MAX(0,J79-F79))</f>
        <v/>
      </c>
      <c r="L79" s="20">
        <f>IF(D79&lt;=0,0,MAX(0,D79-K79))</f>
        <v/>
      </c>
      <c r="M79" s="21">
        <f>IF(OR(L79&lt;=0,G79&lt;=L79*E79/12),0,MAX(0,ROUNDUP(-LN(1-L79*(E79/12)/G79)/LN(1+E79/12),0)))</f>
        <v/>
      </c>
    </row>
    <row r="80" ht="18" customHeight="1">
      <c r="A80" s="22" t="n">
        <v>78</v>
      </c>
      <c r="B80" s="23">
        <f>IF(C80&lt;=Parametry!$C$6,DATE(Parametry!$C$12+INT((Parametry!$C$13+78-2)/12),MOD(Parametry!$C$13+78-2,12)+1,Parametry!$C$11),"")</f>
        <v/>
      </c>
      <c r="C80" s="24" t="n">
        <v>78</v>
      </c>
      <c r="D80" s="25">
        <f>IF(C80&lt;=Parametry!$C$6,L79,0)</f>
        <v/>
      </c>
      <c r="E80" s="26">
        <f>IF(OR(D80&lt;=0,C80&gt;Parametry!$C$6),0,IF(C80&lt;=Parametry!$C$9,Parametry!$C$8,Parametry!$C$10))</f>
        <v/>
      </c>
      <c r="F80" s="25">
        <f>IF(D80&lt;=0,0,D80*E80/12)</f>
        <v/>
      </c>
      <c r="G80" s="25">
        <f>IF(OR(D80&lt;=0,C80&gt;Parametry!$C$6),0,ROUND(-PMT(E80/12,MAX(1,Parametry!$C$6-C80+1),D80),2))</f>
        <v/>
      </c>
      <c r="H80" s="18" t="n"/>
      <c r="I80" s="19">
        <f>IF(OR(L80&lt;=0,C80&gt;=Parametry!$C$6),0,ROUND(-PMT(IF(C80+1&lt;=Parametry!$C$9,Parametry!$C$8,Parametry!$C$10)/12,MAX(1,Parametry!$C$6-C80),L80),2))</f>
        <v/>
      </c>
      <c r="J80" s="27">
        <f>IF(D80&lt;=0,0,MIN(G80+N(H80),D80+F80))</f>
        <v/>
      </c>
      <c r="K80" s="25">
        <f>IF(J80&lt;=0,0,MAX(0,J80-F80))</f>
        <v/>
      </c>
      <c r="L80" s="27">
        <f>IF(D80&lt;=0,0,MAX(0,D80-K80))</f>
        <v/>
      </c>
      <c r="M80" s="28">
        <f>IF(OR(L80&lt;=0,G80&lt;=L80*E80/12),0,MAX(0,ROUNDUP(-LN(1-L80*(E80/12)/G80)/LN(1+E80/12),0)))</f>
        <v/>
      </c>
    </row>
    <row r="81" ht="18" customHeight="1">
      <c r="A81" s="13" t="n">
        <v>79</v>
      </c>
      <c r="B81" s="14">
        <f>IF(C81&lt;=Parametry!$C$6,DATE(Parametry!$C$12+INT((Parametry!$C$13+79-2)/12),MOD(Parametry!$C$13+79-2,12)+1,Parametry!$C$11),"")</f>
        <v/>
      </c>
      <c r="C81" s="15" t="n">
        <v>79</v>
      </c>
      <c r="D81" s="16">
        <f>IF(C81&lt;=Parametry!$C$6,L80,0)</f>
        <v/>
      </c>
      <c r="E81" s="17">
        <f>IF(OR(D81&lt;=0,C81&gt;Parametry!$C$6),0,IF(C81&lt;=Parametry!$C$9,Parametry!$C$8,Parametry!$C$10))</f>
        <v/>
      </c>
      <c r="F81" s="16">
        <f>IF(D81&lt;=0,0,D81*E81/12)</f>
        <v/>
      </c>
      <c r="G81" s="16">
        <f>IF(OR(D81&lt;=0,C81&gt;Parametry!$C$6),0,ROUND(-PMT(E81/12,MAX(1,Parametry!$C$6-C81+1),D81),2))</f>
        <v/>
      </c>
      <c r="H81" s="18" t="n"/>
      <c r="I81" s="19">
        <f>IF(OR(L81&lt;=0,C81&gt;=Parametry!$C$6),0,ROUND(-PMT(IF(C81+1&lt;=Parametry!$C$9,Parametry!$C$8,Parametry!$C$10)/12,MAX(1,Parametry!$C$6-C81),L81),2))</f>
        <v/>
      </c>
      <c r="J81" s="20">
        <f>IF(D81&lt;=0,0,MIN(G81+N(H81),D81+F81))</f>
        <v/>
      </c>
      <c r="K81" s="16">
        <f>IF(J81&lt;=0,0,MAX(0,J81-F81))</f>
        <v/>
      </c>
      <c r="L81" s="20">
        <f>IF(D81&lt;=0,0,MAX(0,D81-K81))</f>
        <v/>
      </c>
      <c r="M81" s="21">
        <f>IF(OR(L81&lt;=0,G81&lt;=L81*E81/12),0,MAX(0,ROUNDUP(-LN(1-L81*(E81/12)/G81)/LN(1+E81/12),0)))</f>
        <v/>
      </c>
    </row>
    <row r="82" ht="18" customHeight="1">
      <c r="A82" s="22" t="n">
        <v>80</v>
      </c>
      <c r="B82" s="23">
        <f>IF(C82&lt;=Parametry!$C$6,DATE(Parametry!$C$12+INT((Parametry!$C$13+80-2)/12),MOD(Parametry!$C$13+80-2,12)+1,Parametry!$C$11),"")</f>
        <v/>
      </c>
      <c r="C82" s="24" t="n">
        <v>80</v>
      </c>
      <c r="D82" s="25">
        <f>IF(C82&lt;=Parametry!$C$6,L81,0)</f>
        <v/>
      </c>
      <c r="E82" s="26">
        <f>IF(OR(D82&lt;=0,C82&gt;Parametry!$C$6),0,IF(C82&lt;=Parametry!$C$9,Parametry!$C$8,Parametry!$C$10))</f>
        <v/>
      </c>
      <c r="F82" s="25">
        <f>IF(D82&lt;=0,0,D82*E82/12)</f>
        <v/>
      </c>
      <c r="G82" s="25">
        <f>IF(OR(D82&lt;=0,C82&gt;Parametry!$C$6),0,ROUND(-PMT(E82/12,MAX(1,Parametry!$C$6-C82+1),D82),2))</f>
        <v/>
      </c>
      <c r="H82" s="18" t="n"/>
      <c r="I82" s="19">
        <f>IF(OR(L82&lt;=0,C82&gt;=Parametry!$C$6),0,ROUND(-PMT(IF(C82+1&lt;=Parametry!$C$9,Parametry!$C$8,Parametry!$C$10)/12,MAX(1,Parametry!$C$6-C82),L82),2))</f>
        <v/>
      </c>
      <c r="J82" s="27">
        <f>IF(D82&lt;=0,0,MIN(G82+N(H82),D82+F82))</f>
        <v/>
      </c>
      <c r="K82" s="25">
        <f>IF(J82&lt;=0,0,MAX(0,J82-F82))</f>
        <v/>
      </c>
      <c r="L82" s="27">
        <f>IF(D82&lt;=0,0,MAX(0,D82-K82))</f>
        <v/>
      </c>
      <c r="M82" s="28">
        <f>IF(OR(L82&lt;=0,G82&lt;=L82*E82/12),0,MAX(0,ROUNDUP(-LN(1-L82*(E82/12)/G82)/LN(1+E82/12),0)))</f>
        <v/>
      </c>
    </row>
    <row r="83" ht="18" customHeight="1">
      <c r="A83" s="13" t="n">
        <v>81</v>
      </c>
      <c r="B83" s="14">
        <f>IF(C83&lt;=Parametry!$C$6,DATE(Parametry!$C$12+INT((Parametry!$C$13+81-2)/12),MOD(Parametry!$C$13+81-2,12)+1,Parametry!$C$11),"")</f>
        <v/>
      </c>
      <c r="C83" s="15" t="n">
        <v>81</v>
      </c>
      <c r="D83" s="16">
        <f>IF(C83&lt;=Parametry!$C$6,L82,0)</f>
        <v/>
      </c>
      <c r="E83" s="17">
        <f>IF(OR(D83&lt;=0,C83&gt;Parametry!$C$6),0,IF(C83&lt;=Parametry!$C$9,Parametry!$C$8,Parametry!$C$10))</f>
        <v/>
      </c>
      <c r="F83" s="16">
        <f>IF(D83&lt;=0,0,D83*E83/12)</f>
        <v/>
      </c>
      <c r="G83" s="16">
        <f>IF(OR(D83&lt;=0,C83&gt;Parametry!$C$6),0,ROUND(-PMT(E83/12,MAX(1,Parametry!$C$6-C83+1),D83),2))</f>
        <v/>
      </c>
      <c r="H83" s="18" t="n"/>
      <c r="I83" s="19">
        <f>IF(OR(L83&lt;=0,C83&gt;=Parametry!$C$6),0,ROUND(-PMT(IF(C83+1&lt;=Parametry!$C$9,Parametry!$C$8,Parametry!$C$10)/12,MAX(1,Parametry!$C$6-C83),L83),2))</f>
        <v/>
      </c>
      <c r="J83" s="20">
        <f>IF(D83&lt;=0,0,MIN(G83+N(H83),D83+F83))</f>
        <v/>
      </c>
      <c r="K83" s="16">
        <f>IF(J83&lt;=0,0,MAX(0,J83-F83))</f>
        <v/>
      </c>
      <c r="L83" s="20">
        <f>IF(D83&lt;=0,0,MAX(0,D83-K83))</f>
        <v/>
      </c>
      <c r="M83" s="21">
        <f>IF(OR(L83&lt;=0,G83&lt;=L83*E83/12),0,MAX(0,ROUNDUP(-LN(1-L83*(E83/12)/G83)/LN(1+E83/12),0)))</f>
        <v/>
      </c>
    </row>
    <row r="84" ht="18" customHeight="1">
      <c r="A84" s="22" t="n">
        <v>82</v>
      </c>
      <c r="B84" s="23">
        <f>IF(C84&lt;=Parametry!$C$6,DATE(Parametry!$C$12+INT((Parametry!$C$13+82-2)/12),MOD(Parametry!$C$13+82-2,12)+1,Parametry!$C$11),"")</f>
        <v/>
      </c>
      <c r="C84" s="24" t="n">
        <v>82</v>
      </c>
      <c r="D84" s="25">
        <f>IF(C84&lt;=Parametry!$C$6,L83,0)</f>
        <v/>
      </c>
      <c r="E84" s="26">
        <f>IF(OR(D84&lt;=0,C84&gt;Parametry!$C$6),0,IF(C84&lt;=Parametry!$C$9,Parametry!$C$8,Parametry!$C$10))</f>
        <v/>
      </c>
      <c r="F84" s="25">
        <f>IF(D84&lt;=0,0,D84*E84/12)</f>
        <v/>
      </c>
      <c r="G84" s="25">
        <f>IF(OR(D84&lt;=0,C84&gt;Parametry!$C$6),0,ROUND(-PMT(E84/12,MAX(1,Parametry!$C$6-C84+1),D84),2))</f>
        <v/>
      </c>
      <c r="H84" s="18" t="n"/>
      <c r="I84" s="19">
        <f>IF(OR(L84&lt;=0,C84&gt;=Parametry!$C$6),0,ROUND(-PMT(IF(C84+1&lt;=Parametry!$C$9,Parametry!$C$8,Parametry!$C$10)/12,MAX(1,Parametry!$C$6-C84),L84),2))</f>
        <v/>
      </c>
      <c r="J84" s="27">
        <f>IF(D84&lt;=0,0,MIN(G84+N(H84),D84+F84))</f>
        <v/>
      </c>
      <c r="K84" s="25">
        <f>IF(J84&lt;=0,0,MAX(0,J84-F84))</f>
        <v/>
      </c>
      <c r="L84" s="27">
        <f>IF(D84&lt;=0,0,MAX(0,D84-K84))</f>
        <v/>
      </c>
      <c r="M84" s="28">
        <f>IF(OR(L84&lt;=0,G84&lt;=L84*E84/12),0,MAX(0,ROUNDUP(-LN(1-L84*(E84/12)/G84)/LN(1+E84/12),0)))</f>
        <v/>
      </c>
    </row>
    <row r="85" ht="18" customHeight="1">
      <c r="A85" s="13" t="n">
        <v>83</v>
      </c>
      <c r="B85" s="14">
        <f>IF(C85&lt;=Parametry!$C$6,DATE(Parametry!$C$12+INT((Parametry!$C$13+83-2)/12),MOD(Parametry!$C$13+83-2,12)+1,Parametry!$C$11),"")</f>
        <v/>
      </c>
      <c r="C85" s="15" t="n">
        <v>83</v>
      </c>
      <c r="D85" s="16">
        <f>IF(C85&lt;=Parametry!$C$6,L84,0)</f>
        <v/>
      </c>
      <c r="E85" s="17">
        <f>IF(OR(D85&lt;=0,C85&gt;Parametry!$C$6),0,IF(C85&lt;=Parametry!$C$9,Parametry!$C$8,Parametry!$C$10))</f>
        <v/>
      </c>
      <c r="F85" s="16">
        <f>IF(D85&lt;=0,0,D85*E85/12)</f>
        <v/>
      </c>
      <c r="G85" s="16">
        <f>IF(OR(D85&lt;=0,C85&gt;Parametry!$C$6),0,ROUND(-PMT(E85/12,MAX(1,Parametry!$C$6-C85+1),D85),2))</f>
        <v/>
      </c>
      <c r="H85" s="18" t="n"/>
      <c r="I85" s="19">
        <f>IF(OR(L85&lt;=0,C85&gt;=Parametry!$C$6),0,ROUND(-PMT(IF(C85+1&lt;=Parametry!$C$9,Parametry!$C$8,Parametry!$C$10)/12,MAX(1,Parametry!$C$6-C85),L85),2))</f>
        <v/>
      </c>
      <c r="J85" s="20">
        <f>IF(D85&lt;=0,0,MIN(G85+N(H85),D85+F85))</f>
        <v/>
      </c>
      <c r="K85" s="16">
        <f>IF(J85&lt;=0,0,MAX(0,J85-F85))</f>
        <v/>
      </c>
      <c r="L85" s="20">
        <f>IF(D85&lt;=0,0,MAX(0,D85-K85))</f>
        <v/>
      </c>
      <c r="M85" s="21">
        <f>IF(OR(L85&lt;=0,G85&lt;=L85*E85/12),0,MAX(0,ROUNDUP(-LN(1-L85*(E85/12)/G85)/LN(1+E85/12),0)))</f>
        <v/>
      </c>
    </row>
    <row r="86" ht="18" customHeight="1">
      <c r="A86" s="22" t="n">
        <v>84</v>
      </c>
      <c r="B86" s="23">
        <f>IF(C86&lt;=Parametry!$C$6,DATE(Parametry!$C$12+INT((Parametry!$C$13+84-2)/12),MOD(Parametry!$C$13+84-2,12)+1,Parametry!$C$11),"")</f>
        <v/>
      </c>
      <c r="C86" s="24" t="n">
        <v>84</v>
      </c>
      <c r="D86" s="25">
        <f>IF(C86&lt;=Parametry!$C$6,L85,0)</f>
        <v/>
      </c>
      <c r="E86" s="26">
        <f>IF(OR(D86&lt;=0,C86&gt;Parametry!$C$6),0,IF(C86&lt;=Parametry!$C$9,Parametry!$C$8,Parametry!$C$10))</f>
        <v/>
      </c>
      <c r="F86" s="25">
        <f>IF(D86&lt;=0,0,D86*E86/12)</f>
        <v/>
      </c>
      <c r="G86" s="25">
        <f>IF(OR(D86&lt;=0,C86&gt;Parametry!$C$6),0,ROUND(-PMT(E86/12,MAX(1,Parametry!$C$6-C86+1),D86),2))</f>
        <v/>
      </c>
      <c r="H86" s="18" t="n"/>
      <c r="I86" s="19">
        <f>IF(OR(L86&lt;=0,C86&gt;=Parametry!$C$6),0,ROUND(-PMT(IF(C86+1&lt;=Parametry!$C$9,Parametry!$C$8,Parametry!$C$10)/12,MAX(1,Parametry!$C$6-C86),L86),2))</f>
        <v/>
      </c>
      <c r="J86" s="27">
        <f>IF(D86&lt;=0,0,MIN(G86+N(H86),D86+F86))</f>
        <v/>
      </c>
      <c r="K86" s="25">
        <f>IF(J86&lt;=0,0,MAX(0,J86-F86))</f>
        <v/>
      </c>
      <c r="L86" s="27">
        <f>IF(D86&lt;=0,0,MAX(0,D86-K86))</f>
        <v/>
      </c>
      <c r="M86" s="28">
        <f>IF(OR(L86&lt;=0,G86&lt;=L86*E86/12),0,MAX(0,ROUNDUP(-LN(1-L86*(E86/12)/G86)/LN(1+E86/12),0)))</f>
        <v/>
      </c>
    </row>
    <row r="87" ht="18" customHeight="1">
      <c r="A87" s="13" t="n">
        <v>85</v>
      </c>
      <c r="B87" s="14">
        <f>IF(C87&lt;=Parametry!$C$6,DATE(Parametry!$C$12+INT((Parametry!$C$13+85-2)/12),MOD(Parametry!$C$13+85-2,12)+1,Parametry!$C$11),"")</f>
        <v/>
      </c>
      <c r="C87" s="15" t="n">
        <v>85</v>
      </c>
      <c r="D87" s="16">
        <f>IF(C87&lt;=Parametry!$C$6,L86,0)</f>
        <v/>
      </c>
      <c r="E87" s="17">
        <f>IF(OR(D87&lt;=0,C87&gt;Parametry!$C$6),0,IF(C87&lt;=Parametry!$C$9,Parametry!$C$8,Parametry!$C$10))</f>
        <v/>
      </c>
      <c r="F87" s="16">
        <f>IF(D87&lt;=0,0,D87*E87/12)</f>
        <v/>
      </c>
      <c r="G87" s="16">
        <f>IF(OR(D87&lt;=0,C87&gt;Parametry!$C$6),0,ROUND(-PMT(E87/12,MAX(1,Parametry!$C$6-C87+1),D87),2))</f>
        <v/>
      </c>
      <c r="H87" s="18" t="n"/>
      <c r="I87" s="19">
        <f>IF(OR(L87&lt;=0,C87&gt;=Parametry!$C$6),0,ROUND(-PMT(IF(C87+1&lt;=Parametry!$C$9,Parametry!$C$8,Parametry!$C$10)/12,MAX(1,Parametry!$C$6-C87),L87),2))</f>
        <v/>
      </c>
      <c r="J87" s="20">
        <f>IF(D87&lt;=0,0,MIN(G87+N(H87),D87+F87))</f>
        <v/>
      </c>
      <c r="K87" s="16">
        <f>IF(J87&lt;=0,0,MAX(0,J87-F87))</f>
        <v/>
      </c>
      <c r="L87" s="20">
        <f>IF(D87&lt;=0,0,MAX(0,D87-K87))</f>
        <v/>
      </c>
      <c r="M87" s="21">
        <f>IF(OR(L87&lt;=0,G87&lt;=L87*E87/12),0,MAX(0,ROUNDUP(-LN(1-L87*(E87/12)/G87)/LN(1+E87/12),0)))</f>
        <v/>
      </c>
    </row>
    <row r="88" ht="18" customHeight="1">
      <c r="A88" s="22" t="n">
        <v>86</v>
      </c>
      <c r="B88" s="23">
        <f>IF(C88&lt;=Parametry!$C$6,DATE(Parametry!$C$12+INT((Parametry!$C$13+86-2)/12),MOD(Parametry!$C$13+86-2,12)+1,Parametry!$C$11),"")</f>
        <v/>
      </c>
      <c r="C88" s="24" t="n">
        <v>86</v>
      </c>
      <c r="D88" s="25">
        <f>IF(C88&lt;=Parametry!$C$6,L87,0)</f>
        <v/>
      </c>
      <c r="E88" s="26">
        <f>IF(OR(D88&lt;=0,C88&gt;Parametry!$C$6),0,IF(C88&lt;=Parametry!$C$9,Parametry!$C$8,Parametry!$C$10))</f>
        <v/>
      </c>
      <c r="F88" s="25">
        <f>IF(D88&lt;=0,0,D88*E88/12)</f>
        <v/>
      </c>
      <c r="G88" s="25">
        <f>IF(OR(D88&lt;=0,C88&gt;Parametry!$C$6),0,ROUND(-PMT(E88/12,MAX(1,Parametry!$C$6-C88+1),D88),2))</f>
        <v/>
      </c>
      <c r="H88" s="18" t="n"/>
      <c r="I88" s="19">
        <f>IF(OR(L88&lt;=0,C88&gt;=Parametry!$C$6),0,ROUND(-PMT(IF(C88+1&lt;=Parametry!$C$9,Parametry!$C$8,Parametry!$C$10)/12,MAX(1,Parametry!$C$6-C88),L88),2))</f>
        <v/>
      </c>
      <c r="J88" s="27">
        <f>IF(D88&lt;=0,0,MIN(G88+N(H88),D88+F88))</f>
        <v/>
      </c>
      <c r="K88" s="25">
        <f>IF(J88&lt;=0,0,MAX(0,J88-F88))</f>
        <v/>
      </c>
      <c r="L88" s="27">
        <f>IF(D88&lt;=0,0,MAX(0,D88-K88))</f>
        <v/>
      </c>
      <c r="M88" s="28">
        <f>IF(OR(L88&lt;=0,G88&lt;=L88*E88/12),0,MAX(0,ROUNDUP(-LN(1-L88*(E88/12)/G88)/LN(1+E88/12),0)))</f>
        <v/>
      </c>
    </row>
    <row r="89" ht="18" customHeight="1">
      <c r="A89" s="13" t="n">
        <v>87</v>
      </c>
      <c r="B89" s="14">
        <f>IF(C89&lt;=Parametry!$C$6,DATE(Parametry!$C$12+INT((Parametry!$C$13+87-2)/12),MOD(Parametry!$C$13+87-2,12)+1,Parametry!$C$11),"")</f>
        <v/>
      </c>
      <c r="C89" s="15" t="n">
        <v>87</v>
      </c>
      <c r="D89" s="16">
        <f>IF(C89&lt;=Parametry!$C$6,L88,0)</f>
        <v/>
      </c>
      <c r="E89" s="17">
        <f>IF(OR(D89&lt;=0,C89&gt;Parametry!$C$6),0,IF(C89&lt;=Parametry!$C$9,Parametry!$C$8,Parametry!$C$10))</f>
        <v/>
      </c>
      <c r="F89" s="16">
        <f>IF(D89&lt;=0,0,D89*E89/12)</f>
        <v/>
      </c>
      <c r="G89" s="16">
        <f>IF(OR(D89&lt;=0,C89&gt;Parametry!$C$6),0,ROUND(-PMT(E89/12,MAX(1,Parametry!$C$6-C89+1),D89),2))</f>
        <v/>
      </c>
      <c r="H89" s="18" t="n"/>
      <c r="I89" s="19">
        <f>IF(OR(L89&lt;=0,C89&gt;=Parametry!$C$6),0,ROUND(-PMT(IF(C89+1&lt;=Parametry!$C$9,Parametry!$C$8,Parametry!$C$10)/12,MAX(1,Parametry!$C$6-C89),L89),2))</f>
        <v/>
      </c>
      <c r="J89" s="20">
        <f>IF(D89&lt;=0,0,MIN(G89+N(H89),D89+F89))</f>
        <v/>
      </c>
      <c r="K89" s="16">
        <f>IF(J89&lt;=0,0,MAX(0,J89-F89))</f>
        <v/>
      </c>
      <c r="L89" s="20">
        <f>IF(D89&lt;=0,0,MAX(0,D89-K89))</f>
        <v/>
      </c>
      <c r="M89" s="21">
        <f>IF(OR(L89&lt;=0,G89&lt;=L89*E89/12),0,MAX(0,ROUNDUP(-LN(1-L89*(E89/12)/G89)/LN(1+E89/12),0)))</f>
        <v/>
      </c>
    </row>
    <row r="90" ht="18" customHeight="1">
      <c r="A90" s="22" t="n">
        <v>88</v>
      </c>
      <c r="B90" s="23">
        <f>IF(C90&lt;=Parametry!$C$6,DATE(Parametry!$C$12+INT((Parametry!$C$13+88-2)/12),MOD(Parametry!$C$13+88-2,12)+1,Parametry!$C$11),"")</f>
        <v/>
      </c>
      <c r="C90" s="24" t="n">
        <v>88</v>
      </c>
      <c r="D90" s="25">
        <f>IF(C90&lt;=Parametry!$C$6,L89,0)</f>
        <v/>
      </c>
      <c r="E90" s="26">
        <f>IF(OR(D90&lt;=0,C90&gt;Parametry!$C$6),0,IF(C90&lt;=Parametry!$C$9,Parametry!$C$8,Parametry!$C$10))</f>
        <v/>
      </c>
      <c r="F90" s="25">
        <f>IF(D90&lt;=0,0,D90*E90/12)</f>
        <v/>
      </c>
      <c r="G90" s="25">
        <f>IF(OR(D90&lt;=0,C90&gt;Parametry!$C$6),0,ROUND(-PMT(E90/12,MAX(1,Parametry!$C$6-C90+1),D90),2))</f>
        <v/>
      </c>
      <c r="H90" s="18" t="n"/>
      <c r="I90" s="19">
        <f>IF(OR(L90&lt;=0,C90&gt;=Parametry!$C$6),0,ROUND(-PMT(IF(C90+1&lt;=Parametry!$C$9,Parametry!$C$8,Parametry!$C$10)/12,MAX(1,Parametry!$C$6-C90),L90),2))</f>
        <v/>
      </c>
      <c r="J90" s="27">
        <f>IF(D90&lt;=0,0,MIN(G90+N(H90),D90+F90))</f>
        <v/>
      </c>
      <c r="K90" s="25">
        <f>IF(J90&lt;=0,0,MAX(0,J90-F90))</f>
        <v/>
      </c>
      <c r="L90" s="27">
        <f>IF(D90&lt;=0,0,MAX(0,D90-K90))</f>
        <v/>
      </c>
      <c r="M90" s="28">
        <f>IF(OR(L90&lt;=0,G90&lt;=L90*E90/12),0,MAX(0,ROUNDUP(-LN(1-L90*(E90/12)/G90)/LN(1+E90/12),0)))</f>
        <v/>
      </c>
    </row>
    <row r="91" ht="18" customHeight="1">
      <c r="A91" s="13" t="n">
        <v>89</v>
      </c>
      <c r="B91" s="14">
        <f>IF(C91&lt;=Parametry!$C$6,DATE(Parametry!$C$12+INT((Parametry!$C$13+89-2)/12),MOD(Parametry!$C$13+89-2,12)+1,Parametry!$C$11),"")</f>
        <v/>
      </c>
      <c r="C91" s="15" t="n">
        <v>89</v>
      </c>
      <c r="D91" s="16">
        <f>IF(C91&lt;=Parametry!$C$6,L90,0)</f>
        <v/>
      </c>
      <c r="E91" s="17">
        <f>IF(OR(D91&lt;=0,C91&gt;Parametry!$C$6),0,IF(C91&lt;=Parametry!$C$9,Parametry!$C$8,Parametry!$C$10))</f>
        <v/>
      </c>
      <c r="F91" s="16">
        <f>IF(D91&lt;=0,0,D91*E91/12)</f>
        <v/>
      </c>
      <c r="G91" s="16">
        <f>IF(OR(D91&lt;=0,C91&gt;Parametry!$C$6),0,ROUND(-PMT(E91/12,MAX(1,Parametry!$C$6-C91+1),D91),2))</f>
        <v/>
      </c>
      <c r="H91" s="18" t="n"/>
      <c r="I91" s="19">
        <f>IF(OR(L91&lt;=0,C91&gt;=Parametry!$C$6),0,ROUND(-PMT(IF(C91+1&lt;=Parametry!$C$9,Parametry!$C$8,Parametry!$C$10)/12,MAX(1,Parametry!$C$6-C91),L91),2))</f>
        <v/>
      </c>
      <c r="J91" s="20">
        <f>IF(D91&lt;=0,0,MIN(G91+N(H91),D91+F91))</f>
        <v/>
      </c>
      <c r="K91" s="16">
        <f>IF(J91&lt;=0,0,MAX(0,J91-F91))</f>
        <v/>
      </c>
      <c r="L91" s="20">
        <f>IF(D91&lt;=0,0,MAX(0,D91-K91))</f>
        <v/>
      </c>
      <c r="M91" s="21">
        <f>IF(OR(L91&lt;=0,G91&lt;=L91*E91/12),0,MAX(0,ROUNDUP(-LN(1-L91*(E91/12)/G91)/LN(1+E91/12),0)))</f>
        <v/>
      </c>
    </row>
    <row r="92" ht="18" customHeight="1">
      <c r="A92" s="22" t="n">
        <v>90</v>
      </c>
      <c r="B92" s="23">
        <f>IF(C92&lt;=Parametry!$C$6,DATE(Parametry!$C$12+INT((Parametry!$C$13+90-2)/12),MOD(Parametry!$C$13+90-2,12)+1,Parametry!$C$11),"")</f>
        <v/>
      </c>
      <c r="C92" s="24" t="n">
        <v>90</v>
      </c>
      <c r="D92" s="25">
        <f>IF(C92&lt;=Parametry!$C$6,L91,0)</f>
        <v/>
      </c>
      <c r="E92" s="26">
        <f>IF(OR(D92&lt;=0,C92&gt;Parametry!$C$6),0,IF(C92&lt;=Parametry!$C$9,Parametry!$C$8,Parametry!$C$10))</f>
        <v/>
      </c>
      <c r="F92" s="25">
        <f>IF(D92&lt;=0,0,D92*E92/12)</f>
        <v/>
      </c>
      <c r="G92" s="25">
        <f>IF(OR(D92&lt;=0,C92&gt;Parametry!$C$6),0,ROUND(-PMT(E92/12,MAX(1,Parametry!$C$6-C92+1),D92),2))</f>
        <v/>
      </c>
      <c r="H92" s="18" t="n"/>
      <c r="I92" s="19">
        <f>IF(OR(L92&lt;=0,C92&gt;=Parametry!$C$6),0,ROUND(-PMT(IF(C92+1&lt;=Parametry!$C$9,Parametry!$C$8,Parametry!$C$10)/12,MAX(1,Parametry!$C$6-C92),L92),2))</f>
        <v/>
      </c>
      <c r="J92" s="27">
        <f>IF(D92&lt;=0,0,MIN(G92+N(H92),D92+F92))</f>
        <v/>
      </c>
      <c r="K92" s="25">
        <f>IF(J92&lt;=0,0,MAX(0,J92-F92))</f>
        <v/>
      </c>
      <c r="L92" s="27">
        <f>IF(D92&lt;=0,0,MAX(0,D92-K92))</f>
        <v/>
      </c>
      <c r="M92" s="28">
        <f>IF(OR(L92&lt;=0,G92&lt;=L92*E92/12),0,MAX(0,ROUNDUP(-LN(1-L92*(E92/12)/G92)/LN(1+E92/12),0)))</f>
        <v/>
      </c>
    </row>
    <row r="93" ht="18" customHeight="1">
      <c r="A93" s="13" t="n">
        <v>91</v>
      </c>
      <c r="B93" s="14">
        <f>IF(C93&lt;=Parametry!$C$6,DATE(Parametry!$C$12+INT((Parametry!$C$13+91-2)/12),MOD(Parametry!$C$13+91-2,12)+1,Parametry!$C$11),"")</f>
        <v/>
      </c>
      <c r="C93" s="15" t="n">
        <v>91</v>
      </c>
      <c r="D93" s="16">
        <f>IF(C93&lt;=Parametry!$C$6,L92,0)</f>
        <v/>
      </c>
      <c r="E93" s="17">
        <f>IF(OR(D93&lt;=0,C93&gt;Parametry!$C$6),0,IF(C93&lt;=Parametry!$C$9,Parametry!$C$8,Parametry!$C$10))</f>
        <v/>
      </c>
      <c r="F93" s="16">
        <f>IF(D93&lt;=0,0,D93*E93/12)</f>
        <v/>
      </c>
      <c r="G93" s="16">
        <f>IF(OR(D93&lt;=0,C93&gt;Parametry!$C$6),0,ROUND(-PMT(E93/12,MAX(1,Parametry!$C$6-C93+1),D93),2))</f>
        <v/>
      </c>
      <c r="H93" s="18" t="n"/>
      <c r="I93" s="19">
        <f>IF(OR(L93&lt;=0,C93&gt;=Parametry!$C$6),0,ROUND(-PMT(IF(C93+1&lt;=Parametry!$C$9,Parametry!$C$8,Parametry!$C$10)/12,MAX(1,Parametry!$C$6-C93),L93),2))</f>
        <v/>
      </c>
      <c r="J93" s="20">
        <f>IF(D93&lt;=0,0,MIN(G93+N(H93),D93+F93))</f>
        <v/>
      </c>
      <c r="K93" s="16">
        <f>IF(J93&lt;=0,0,MAX(0,J93-F93))</f>
        <v/>
      </c>
      <c r="L93" s="20">
        <f>IF(D93&lt;=0,0,MAX(0,D93-K93))</f>
        <v/>
      </c>
      <c r="M93" s="21">
        <f>IF(OR(L93&lt;=0,G93&lt;=L93*E93/12),0,MAX(0,ROUNDUP(-LN(1-L93*(E93/12)/G93)/LN(1+E93/12),0)))</f>
        <v/>
      </c>
    </row>
    <row r="94" ht="18" customHeight="1">
      <c r="A94" s="22" t="n">
        <v>92</v>
      </c>
      <c r="B94" s="23">
        <f>IF(C94&lt;=Parametry!$C$6,DATE(Parametry!$C$12+INT((Parametry!$C$13+92-2)/12),MOD(Parametry!$C$13+92-2,12)+1,Parametry!$C$11),"")</f>
        <v/>
      </c>
      <c r="C94" s="24" t="n">
        <v>92</v>
      </c>
      <c r="D94" s="25">
        <f>IF(C94&lt;=Parametry!$C$6,L93,0)</f>
        <v/>
      </c>
      <c r="E94" s="26">
        <f>IF(OR(D94&lt;=0,C94&gt;Parametry!$C$6),0,IF(C94&lt;=Parametry!$C$9,Parametry!$C$8,Parametry!$C$10))</f>
        <v/>
      </c>
      <c r="F94" s="25">
        <f>IF(D94&lt;=0,0,D94*E94/12)</f>
        <v/>
      </c>
      <c r="G94" s="25">
        <f>IF(OR(D94&lt;=0,C94&gt;Parametry!$C$6),0,ROUND(-PMT(E94/12,MAX(1,Parametry!$C$6-C94+1),D94),2))</f>
        <v/>
      </c>
      <c r="H94" s="18" t="n"/>
      <c r="I94" s="19">
        <f>IF(OR(L94&lt;=0,C94&gt;=Parametry!$C$6),0,ROUND(-PMT(IF(C94+1&lt;=Parametry!$C$9,Parametry!$C$8,Parametry!$C$10)/12,MAX(1,Parametry!$C$6-C94),L94),2))</f>
        <v/>
      </c>
      <c r="J94" s="27">
        <f>IF(D94&lt;=0,0,MIN(G94+N(H94),D94+F94))</f>
        <v/>
      </c>
      <c r="K94" s="25">
        <f>IF(J94&lt;=0,0,MAX(0,J94-F94))</f>
        <v/>
      </c>
      <c r="L94" s="27">
        <f>IF(D94&lt;=0,0,MAX(0,D94-K94))</f>
        <v/>
      </c>
      <c r="M94" s="28">
        <f>IF(OR(L94&lt;=0,G94&lt;=L94*E94/12),0,MAX(0,ROUNDUP(-LN(1-L94*(E94/12)/G94)/LN(1+E94/12),0)))</f>
        <v/>
      </c>
    </row>
    <row r="95" ht="18" customHeight="1">
      <c r="A95" s="13" t="n">
        <v>93</v>
      </c>
      <c r="B95" s="14">
        <f>IF(C95&lt;=Parametry!$C$6,DATE(Parametry!$C$12+INT((Parametry!$C$13+93-2)/12),MOD(Parametry!$C$13+93-2,12)+1,Parametry!$C$11),"")</f>
        <v/>
      </c>
      <c r="C95" s="15" t="n">
        <v>93</v>
      </c>
      <c r="D95" s="16">
        <f>IF(C95&lt;=Parametry!$C$6,L94,0)</f>
        <v/>
      </c>
      <c r="E95" s="17">
        <f>IF(OR(D95&lt;=0,C95&gt;Parametry!$C$6),0,IF(C95&lt;=Parametry!$C$9,Parametry!$C$8,Parametry!$C$10))</f>
        <v/>
      </c>
      <c r="F95" s="16">
        <f>IF(D95&lt;=0,0,D95*E95/12)</f>
        <v/>
      </c>
      <c r="G95" s="16">
        <f>IF(OR(D95&lt;=0,C95&gt;Parametry!$C$6),0,ROUND(-PMT(E95/12,MAX(1,Parametry!$C$6-C95+1),D95),2))</f>
        <v/>
      </c>
      <c r="H95" s="18" t="n"/>
      <c r="I95" s="19">
        <f>IF(OR(L95&lt;=0,C95&gt;=Parametry!$C$6),0,ROUND(-PMT(IF(C95+1&lt;=Parametry!$C$9,Parametry!$C$8,Parametry!$C$10)/12,MAX(1,Parametry!$C$6-C95),L95),2))</f>
        <v/>
      </c>
      <c r="J95" s="20">
        <f>IF(D95&lt;=0,0,MIN(G95+N(H95),D95+F95))</f>
        <v/>
      </c>
      <c r="K95" s="16">
        <f>IF(J95&lt;=0,0,MAX(0,J95-F95))</f>
        <v/>
      </c>
      <c r="L95" s="20">
        <f>IF(D95&lt;=0,0,MAX(0,D95-K95))</f>
        <v/>
      </c>
      <c r="M95" s="21">
        <f>IF(OR(L95&lt;=0,G95&lt;=L95*E95/12),0,MAX(0,ROUNDUP(-LN(1-L95*(E95/12)/G95)/LN(1+E95/12),0)))</f>
        <v/>
      </c>
    </row>
    <row r="96" ht="18" customHeight="1">
      <c r="A96" s="22" t="n">
        <v>94</v>
      </c>
      <c r="B96" s="23">
        <f>IF(C96&lt;=Parametry!$C$6,DATE(Parametry!$C$12+INT((Parametry!$C$13+94-2)/12),MOD(Parametry!$C$13+94-2,12)+1,Parametry!$C$11),"")</f>
        <v/>
      </c>
      <c r="C96" s="24" t="n">
        <v>94</v>
      </c>
      <c r="D96" s="25">
        <f>IF(C96&lt;=Parametry!$C$6,L95,0)</f>
        <v/>
      </c>
      <c r="E96" s="26">
        <f>IF(OR(D96&lt;=0,C96&gt;Parametry!$C$6),0,IF(C96&lt;=Parametry!$C$9,Parametry!$C$8,Parametry!$C$10))</f>
        <v/>
      </c>
      <c r="F96" s="25">
        <f>IF(D96&lt;=0,0,D96*E96/12)</f>
        <v/>
      </c>
      <c r="G96" s="25">
        <f>IF(OR(D96&lt;=0,C96&gt;Parametry!$C$6),0,ROUND(-PMT(E96/12,MAX(1,Parametry!$C$6-C96+1),D96),2))</f>
        <v/>
      </c>
      <c r="H96" s="18" t="n"/>
      <c r="I96" s="19">
        <f>IF(OR(L96&lt;=0,C96&gt;=Parametry!$C$6),0,ROUND(-PMT(IF(C96+1&lt;=Parametry!$C$9,Parametry!$C$8,Parametry!$C$10)/12,MAX(1,Parametry!$C$6-C96),L96),2))</f>
        <v/>
      </c>
      <c r="J96" s="27">
        <f>IF(D96&lt;=0,0,MIN(G96+N(H96),D96+F96))</f>
        <v/>
      </c>
      <c r="K96" s="25">
        <f>IF(J96&lt;=0,0,MAX(0,J96-F96))</f>
        <v/>
      </c>
      <c r="L96" s="27">
        <f>IF(D96&lt;=0,0,MAX(0,D96-K96))</f>
        <v/>
      </c>
      <c r="M96" s="28">
        <f>IF(OR(L96&lt;=0,G96&lt;=L96*E96/12),0,MAX(0,ROUNDUP(-LN(1-L96*(E96/12)/G96)/LN(1+E96/12),0)))</f>
        <v/>
      </c>
    </row>
    <row r="97" ht="18" customHeight="1">
      <c r="A97" s="13" t="n">
        <v>95</v>
      </c>
      <c r="B97" s="14">
        <f>IF(C97&lt;=Parametry!$C$6,DATE(Parametry!$C$12+INT((Parametry!$C$13+95-2)/12),MOD(Parametry!$C$13+95-2,12)+1,Parametry!$C$11),"")</f>
        <v/>
      </c>
      <c r="C97" s="15" t="n">
        <v>95</v>
      </c>
      <c r="D97" s="16">
        <f>IF(C97&lt;=Parametry!$C$6,L96,0)</f>
        <v/>
      </c>
      <c r="E97" s="17">
        <f>IF(OR(D97&lt;=0,C97&gt;Parametry!$C$6),0,IF(C97&lt;=Parametry!$C$9,Parametry!$C$8,Parametry!$C$10))</f>
        <v/>
      </c>
      <c r="F97" s="16">
        <f>IF(D97&lt;=0,0,D97*E97/12)</f>
        <v/>
      </c>
      <c r="G97" s="16">
        <f>IF(OR(D97&lt;=0,C97&gt;Parametry!$C$6),0,ROUND(-PMT(E97/12,MAX(1,Parametry!$C$6-C97+1),D97),2))</f>
        <v/>
      </c>
      <c r="H97" s="18" t="n"/>
      <c r="I97" s="19">
        <f>IF(OR(L97&lt;=0,C97&gt;=Parametry!$C$6),0,ROUND(-PMT(IF(C97+1&lt;=Parametry!$C$9,Parametry!$C$8,Parametry!$C$10)/12,MAX(1,Parametry!$C$6-C97),L97),2))</f>
        <v/>
      </c>
      <c r="J97" s="20">
        <f>IF(D97&lt;=0,0,MIN(G97+N(H97),D97+F97))</f>
        <v/>
      </c>
      <c r="K97" s="16">
        <f>IF(J97&lt;=0,0,MAX(0,J97-F97))</f>
        <v/>
      </c>
      <c r="L97" s="20">
        <f>IF(D97&lt;=0,0,MAX(0,D97-K97))</f>
        <v/>
      </c>
      <c r="M97" s="21">
        <f>IF(OR(L97&lt;=0,G97&lt;=L97*E97/12),0,MAX(0,ROUNDUP(-LN(1-L97*(E97/12)/G97)/LN(1+E97/12),0)))</f>
        <v/>
      </c>
    </row>
    <row r="98" ht="18" customHeight="1">
      <c r="A98" s="22" t="n">
        <v>96</v>
      </c>
      <c r="B98" s="23">
        <f>IF(C98&lt;=Parametry!$C$6,DATE(Parametry!$C$12+INT((Parametry!$C$13+96-2)/12),MOD(Parametry!$C$13+96-2,12)+1,Parametry!$C$11),"")</f>
        <v/>
      </c>
      <c r="C98" s="24" t="n">
        <v>96</v>
      </c>
      <c r="D98" s="25">
        <f>IF(C98&lt;=Parametry!$C$6,L97,0)</f>
        <v/>
      </c>
      <c r="E98" s="26">
        <f>IF(OR(D98&lt;=0,C98&gt;Parametry!$C$6),0,IF(C98&lt;=Parametry!$C$9,Parametry!$C$8,Parametry!$C$10))</f>
        <v/>
      </c>
      <c r="F98" s="25">
        <f>IF(D98&lt;=0,0,D98*E98/12)</f>
        <v/>
      </c>
      <c r="G98" s="25">
        <f>IF(OR(D98&lt;=0,C98&gt;Parametry!$C$6),0,ROUND(-PMT(E98/12,MAX(1,Parametry!$C$6-C98+1),D98),2))</f>
        <v/>
      </c>
      <c r="H98" s="18" t="n"/>
      <c r="I98" s="19">
        <f>IF(OR(L98&lt;=0,C98&gt;=Parametry!$C$6),0,ROUND(-PMT(IF(C98+1&lt;=Parametry!$C$9,Parametry!$C$8,Parametry!$C$10)/12,MAX(1,Parametry!$C$6-C98),L98),2))</f>
        <v/>
      </c>
      <c r="J98" s="27">
        <f>IF(D98&lt;=0,0,MIN(G98+N(H98),D98+F98))</f>
        <v/>
      </c>
      <c r="K98" s="25">
        <f>IF(J98&lt;=0,0,MAX(0,J98-F98))</f>
        <v/>
      </c>
      <c r="L98" s="27">
        <f>IF(D98&lt;=0,0,MAX(0,D98-K98))</f>
        <v/>
      </c>
      <c r="M98" s="28">
        <f>IF(OR(L98&lt;=0,G98&lt;=L98*E98/12),0,MAX(0,ROUNDUP(-LN(1-L98*(E98/12)/G98)/LN(1+E98/12),0)))</f>
        <v/>
      </c>
    </row>
    <row r="99" ht="18" customHeight="1">
      <c r="A99" s="13" t="n">
        <v>97</v>
      </c>
      <c r="B99" s="14">
        <f>IF(C99&lt;=Parametry!$C$6,DATE(Parametry!$C$12+INT((Parametry!$C$13+97-2)/12),MOD(Parametry!$C$13+97-2,12)+1,Parametry!$C$11),"")</f>
        <v/>
      </c>
      <c r="C99" s="15" t="n">
        <v>97</v>
      </c>
      <c r="D99" s="16">
        <f>IF(C99&lt;=Parametry!$C$6,L98,0)</f>
        <v/>
      </c>
      <c r="E99" s="17">
        <f>IF(OR(D99&lt;=0,C99&gt;Parametry!$C$6),0,IF(C99&lt;=Parametry!$C$9,Parametry!$C$8,Parametry!$C$10))</f>
        <v/>
      </c>
      <c r="F99" s="16">
        <f>IF(D99&lt;=0,0,D99*E99/12)</f>
        <v/>
      </c>
      <c r="G99" s="16">
        <f>IF(OR(D99&lt;=0,C99&gt;Parametry!$C$6),0,ROUND(-PMT(E99/12,MAX(1,Parametry!$C$6-C99+1),D99),2))</f>
        <v/>
      </c>
      <c r="H99" s="18" t="n"/>
      <c r="I99" s="19">
        <f>IF(OR(L99&lt;=0,C99&gt;=Parametry!$C$6),0,ROUND(-PMT(IF(C99+1&lt;=Parametry!$C$9,Parametry!$C$8,Parametry!$C$10)/12,MAX(1,Parametry!$C$6-C99),L99),2))</f>
        <v/>
      </c>
      <c r="J99" s="20">
        <f>IF(D99&lt;=0,0,MIN(G99+N(H99),D99+F99))</f>
        <v/>
      </c>
      <c r="K99" s="16">
        <f>IF(J99&lt;=0,0,MAX(0,J99-F99))</f>
        <v/>
      </c>
      <c r="L99" s="20">
        <f>IF(D99&lt;=0,0,MAX(0,D99-K99))</f>
        <v/>
      </c>
      <c r="M99" s="21">
        <f>IF(OR(L99&lt;=0,G99&lt;=L99*E99/12),0,MAX(0,ROUNDUP(-LN(1-L99*(E99/12)/G99)/LN(1+E99/12),0)))</f>
        <v/>
      </c>
    </row>
    <row r="100" ht="18" customHeight="1">
      <c r="A100" s="22" t="n">
        <v>98</v>
      </c>
      <c r="B100" s="23">
        <f>IF(C100&lt;=Parametry!$C$6,DATE(Parametry!$C$12+INT((Parametry!$C$13+98-2)/12),MOD(Parametry!$C$13+98-2,12)+1,Parametry!$C$11),"")</f>
        <v/>
      </c>
      <c r="C100" s="24" t="n">
        <v>98</v>
      </c>
      <c r="D100" s="25">
        <f>IF(C100&lt;=Parametry!$C$6,L99,0)</f>
        <v/>
      </c>
      <c r="E100" s="26">
        <f>IF(OR(D100&lt;=0,C100&gt;Parametry!$C$6),0,IF(C100&lt;=Parametry!$C$9,Parametry!$C$8,Parametry!$C$10))</f>
        <v/>
      </c>
      <c r="F100" s="25">
        <f>IF(D100&lt;=0,0,D100*E100/12)</f>
        <v/>
      </c>
      <c r="G100" s="25">
        <f>IF(OR(D100&lt;=0,C100&gt;Parametry!$C$6),0,ROUND(-PMT(E100/12,MAX(1,Parametry!$C$6-C100+1),D100),2))</f>
        <v/>
      </c>
      <c r="H100" s="18" t="n"/>
      <c r="I100" s="19">
        <f>IF(OR(L100&lt;=0,C100&gt;=Parametry!$C$6),0,ROUND(-PMT(IF(C100+1&lt;=Parametry!$C$9,Parametry!$C$8,Parametry!$C$10)/12,MAX(1,Parametry!$C$6-C100),L100),2))</f>
        <v/>
      </c>
      <c r="J100" s="27">
        <f>IF(D100&lt;=0,0,MIN(G100+N(H100),D100+F100))</f>
        <v/>
      </c>
      <c r="K100" s="25">
        <f>IF(J100&lt;=0,0,MAX(0,J100-F100))</f>
        <v/>
      </c>
      <c r="L100" s="27">
        <f>IF(D100&lt;=0,0,MAX(0,D100-K100))</f>
        <v/>
      </c>
      <c r="M100" s="28">
        <f>IF(OR(L100&lt;=0,G100&lt;=L100*E100/12),0,MAX(0,ROUNDUP(-LN(1-L100*(E100/12)/G100)/LN(1+E100/12),0)))</f>
        <v/>
      </c>
    </row>
    <row r="101" ht="18" customHeight="1">
      <c r="A101" s="13" t="n">
        <v>99</v>
      </c>
      <c r="B101" s="14">
        <f>IF(C101&lt;=Parametry!$C$6,DATE(Parametry!$C$12+INT((Parametry!$C$13+99-2)/12),MOD(Parametry!$C$13+99-2,12)+1,Parametry!$C$11),"")</f>
        <v/>
      </c>
      <c r="C101" s="15" t="n">
        <v>99</v>
      </c>
      <c r="D101" s="16">
        <f>IF(C101&lt;=Parametry!$C$6,L100,0)</f>
        <v/>
      </c>
      <c r="E101" s="17">
        <f>IF(OR(D101&lt;=0,C101&gt;Parametry!$C$6),0,IF(C101&lt;=Parametry!$C$9,Parametry!$C$8,Parametry!$C$10))</f>
        <v/>
      </c>
      <c r="F101" s="16">
        <f>IF(D101&lt;=0,0,D101*E101/12)</f>
        <v/>
      </c>
      <c r="G101" s="16">
        <f>IF(OR(D101&lt;=0,C101&gt;Parametry!$C$6),0,ROUND(-PMT(E101/12,MAX(1,Parametry!$C$6-C101+1),D101),2))</f>
        <v/>
      </c>
      <c r="H101" s="18" t="n"/>
      <c r="I101" s="19">
        <f>IF(OR(L101&lt;=0,C101&gt;=Parametry!$C$6),0,ROUND(-PMT(IF(C101+1&lt;=Parametry!$C$9,Parametry!$C$8,Parametry!$C$10)/12,MAX(1,Parametry!$C$6-C101),L101),2))</f>
        <v/>
      </c>
      <c r="J101" s="20">
        <f>IF(D101&lt;=0,0,MIN(G101+N(H101),D101+F101))</f>
        <v/>
      </c>
      <c r="K101" s="16">
        <f>IF(J101&lt;=0,0,MAX(0,J101-F101))</f>
        <v/>
      </c>
      <c r="L101" s="20">
        <f>IF(D101&lt;=0,0,MAX(0,D101-K101))</f>
        <v/>
      </c>
      <c r="M101" s="21">
        <f>IF(OR(L101&lt;=0,G101&lt;=L101*E101/12),0,MAX(0,ROUNDUP(-LN(1-L101*(E101/12)/G101)/LN(1+E101/12),0)))</f>
        <v/>
      </c>
    </row>
    <row r="102" ht="18" customHeight="1">
      <c r="A102" s="22" t="n">
        <v>100</v>
      </c>
      <c r="B102" s="23">
        <f>IF(C102&lt;=Parametry!$C$6,DATE(Parametry!$C$12+INT((Parametry!$C$13+100-2)/12),MOD(Parametry!$C$13+100-2,12)+1,Parametry!$C$11),"")</f>
        <v/>
      </c>
      <c r="C102" s="24" t="n">
        <v>100</v>
      </c>
      <c r="D102" s="25">
        <f>IF(C102&lt;=Parametry!$C$6,L101,0)</f>
        <v/>
      </c>
      <c r="E102" s="26">
        <f>IF(OR(D102&lt;=0,C102&gt;Parametry!$C$6),0,IF(C102&lt;=Parametry!$C$9,Parametry!$C$8,Parametry!$C$10))</f>
        <v/>
      </c>
      <c r="F102" s="25">
        <f>IF(D102&lt;=0,0,D102*E102/12)</f>
        <v/>
      </c>
      <c r="G102" s="25">
        <f>IF(OR(D102&lt;=0,C102&gt;Parametry!$C$6),0,ROUND(-PMT(E102/12,MAX(1,Parametry!$C$6-C102+1),D102),2))</f>
        <v/>
      </c>
      <c r="H102" s="18" t="n"/>
      <c r="I102" s="19">
        <f>IF(OR(L102&lt;=0,C102&gt;=Parametry!$C$6),0,ROUND(-PMT(IF(C102+1&lt;=Parametry!$C$9,Parametry!$C$8,Parametry!$C$10)/12,MAX(1,Parametry!$C$6-C102),L102),2))</f>
        <v/>
      </c>
      <c r="J102" s="27">
        <f>IF(D102&lt;=0,0,MIN(G102+N(H102),D102+F102))</f>
        <v/>
      </c>
      <c r="K102" s="25">
        <f>IF(J102&lt;=0,0,MAX(0,J102-F102))</f>
        <v/>
      </c>
      <c r="L102" s="27">
        <f>IF(D102&lt;=0,0,MAX(0,D102-K102))</f>
        <v/>
      </c>
      <c r="M102" s="28">
        <f>IF(OR(L102&lt;=0,G102&lt;=L102*E102/12),0,MAX(0,ROUNDUP(-LN(1-L102*(E102/12)/G102)/LN(1+E102/12),0)))</f>
        <v/>
      </c>
    </row>
    <row r="103" ht="18" customHeight="1">
      <c r="A103" s="13" t="n">
        <v>101</v>
      </c>
      <c r="B103" s="14">
        <f>IF(C103&lt;=Parametry!$C$6,DATE(Parametry!$C$12+INT((Parametry!$C$13+101-2)/12),MOD(Parametry!$C$13+101-2,12)+1,Parametry!$C$11),"")</f>
        <v/>
      </c>
      <c r="C103" s="15" t="n">
        <v>101</v>
      </c>
      <c r="D103" s="16">
        <f>IF(C103&lt;=Parametry!$C$6,L102,0)</f>
        <v/>
      </c>
      <c r="E103" s="17">
        <f>IF(OR(D103&lt;=0,C103&gt;Parametry!$C$6),0,IF(C103&lt;=Parametry!$C$9,Parametry!$C$8,Parametry!$C$10))</f>
        <v/>
      </c>
      <c r="F103" s="16">
        <f>IF(D103&lt;=0,0,D103*E103/12)</f>
        <v/>
      </c>
      <c r="G103" s="16">
        <f>IF(OR(D103&lt;=0,C103&gt;Parametry!$C$6),0,ROUND(-PMT(E103/12,MAX(1,Parametry!$C$6-C103+1),D103),2))</f>
        <v/>
      </c>
      <c r="H103" s="18" t="n"/>
      <c r="I103" s="19">
        <f>IF(OR(L103&lt;=0,C103&gt;=Parametry!$C$6),0,ROUND(-PMT(IF(C103+1&lt;=Parametry!$C$9,Parametry!$C$8,Parametry!$C$10)/12,MAX(1,Parametry!$C$6-C103),L103),2))</f>
        <v/>
      </c>
      <c r="J103" s="20">
        <f>IF(D103&lt;=0,0,MIN(G103+N(H103),D103+F103))</f>
        <v/>
      </c>
      <c r="K103" s="16">
        <f>IF(J103&lt;=0,0,MAX(0,J103-F103))</f>
        <v/>
      </c>
      <c r="L103" s="20">
        <f>IF(D103&lt;=0,0,MAX(0,D103-K103))</f>
        <v/>
      </c>
      <c r="M103" s="21">
        <f>IF(OR(L103&lt;=0,G103&lt;=L103*E103/12),0,MAX(0,ROUNDUP(-LN(1-L103*(E103/12)/G103)/LN(1+E103/12),0)))</f>
        <v/>
      </c>
    </row>
    <row r="104" ht="18" customHeight="1">
      <c r="A104" s="22" t="n">
        <v>102</v>
      </c>
      <c r="B104" s="23">
        <f>IF(C104&lt;=Parametry!$C$6,DATE(Parametry!$C$12+INT((Parametry!$C$13+102-2)/12),MOD(Parametry!$C$13+102-2,12)+1,Parametry!$C$11),"")</f>
        <v/>
      </c>
      <c r="C104" s="24" t="n">
        <v>102</v>
      </c>
      <c r="D104" s="25">
        <f>IF(C104&lt;=Parametry!$C$6,L103,0)</f>
        <v/>
      </c>
      <c r="E104" s="26">
        <f>IF(OR(D104&lt;=0,C104&gt;Parametry!$C$6),0,IF(C104&lt;=Parametry!$C$9,Parametry!$C$8,Parametry!$C$10))</f>
        <v/>
      </c>
      <c r="F104" s="25">
        <f>IF(D104&lt;=0,0,D104*E104/12)</f>
        <v/>
      </c>
      <c r="G104" s="25">
        <f>IF(OR(D104&lt;=0,C104&gt;Parametry!$C$6),0,ROUND(-PMT(E104/12,MAX(1,Parametry!$C$6-C104+1),D104),2))</f>
        <v/>
      </c>
      <c r="H104" s="18" t="n"/>
      <c r="I104" s="19">
        <f>IF(OR(L104&lt;=0,C104&gt;=Parametry!$C$6),0,ROUND(-PMT(IF(C104+1&lt;=Parametry!$C$9,Parametry!$C$8,Parametry!$C$10)/12,MAX(1,Parametry!$C$6-C104),L104),2))</f>
        <v/>
      </c>
      <c r="J104" s="27">
        <f>IF(D104&lt;=0,0,MIN(G104+N(H104),D104+F104))</f>
        <v/>
      </c>
      <c r="K104" s="25">
        <f>IF(J104&lt;=0,0,MAX(0,J104-F104))</f>
        <v/>
      </c>
      <c r="L104" s="27">
        <f>IF(D104&lt;=0,0,MAX(0,D104-K104))</f>
        <v/>
      </c>
      <c r="M104" s="28">
        <f>IF(OR(L104&lt;=0,G104&lt;=L104*E104/12),0,MAX(0,ROUNDUP(-LN(1-L104*(E104/12)/G104)/LN(1+E104/12),0)))</f>
        <v/>
      </c>
    </row>
    <row r="105" ht="18" customHeight="1">
      <c r="A105" s="13" t="n">
        <v>103</v>
      </c>
      <c r="B105" s="14">
        <f>IF(C105&lt;=Parametry!$C$6,DATE(Parametry!$C$12+INT((Parametry!$C$13+103-2)/12),MOD(Parametry!$C$13+103-2,12)+1,Parametry!$C$11),"")</f>
        <v/>
      </c>
      <c r="C105" s="15" t="n">
        <v>103</v>
      </c>
      <c r="D105" s="16">
        <f>IF(C105&lt;=Parametry!$C$6,L104,0)</f>
        <v/>
      </c>
      <c r="E105" s="17">
        <f>IF(OR(D105&lt;=0,C105&gt;Parametry!$C$6),0,IF(C105&lt;=Parametry!$C$9,Parametry!$C$8,Parametry!$C$10))</f>
        <v/>
      </c>
      <c r="F105" s="16">
        <f>IF(D105&lt;=0,0,D105*E105/12)</f>
        <v/>
      </c>
      <c r="G105" s="16">
        <f>IF(OR(D105&lt;=0,C105&gt;Parametry!$C$6),0,ROUND(-PMT(E105/12,MAX(1,Parametry!$C$6-C105+1),D105),2))</f>
        <v/>
      </c>
      <c r="H105" s="18" t="n"/>
      <c r="I105" s="19">
        <f>IF(OR(L105&lt;=0,C105&gt;=Parametry!$C$6),0,ROUND(-PMT(IF(C105+1&lt;=Parametry!$C$9,Parametry!$C$8,Parametry!$C$10)/12,MAX(1,Parametry!$C$6-C105),L105),2))</f>
        <v/>
      </c>
      <c r="J105" s="20">
        <f>IF(D105&lt;=0,0,MIN(G105+N(H105),D105+F105))</f>
        <v/>
      </c>
      <c r="K105" s="16">
        <f>IF(J105&lt;=0,0,MAX(0,J105-F105))</f>
        <v/>
      </c>
      <c r="L105" s="20">
        <f>IF(D105&lt;=0,0,MAX(0,D105-K105))</f>
        <v/>
      </c>
      <c r="M105" s="21">
        <f>IF(OR(L105&lt;=0,G105&lt;=L105*E105/12),0,MAX(0,ROUNDUP(-LN(1-L105*(E105/12)/G105)/LN(1+E105/12),0)))</f>
        <v/>
      </c>
    </row>
    <row r="106" ht="18" customHeight="1">
      <c r="A106" s="22" t="n">
        <v>104</v>
      </c>
      <c r="B106" s="23">
        <f>IF(C106&lt;=Parametry!$C$6,DATE(Parametry!$C$12+INT((Parametry!$C$13+104-2)/12),MOD(Parametry!$C$13+104-2,12)+1,Parametry!$C$11),"")</f>
        <v/>
      </c>
      <c r="C106" s="24" t="n">
        <v>104</v>
      </c>
      <c r="D106" s="25">
        <f>IF(C106&lt;=Parametry!$C$6,L105,0)</f>
        <v/>
      </c>
      <c r="E106" s="26">
        <f>IF(OR(D106&lt;=0,C106&gt;Parametry!$C$6),0,IF(C106&lt;=Parametry!$C$9,Parametry!$C$8,Parametry!$C$10))</f>
        <v/>
      </c>
      <c r="F106" s="25">
        <f>IF(D106&lt;=0,0,D106*E106/12)</f>
        <v/>
      </c>
      <c r="G106" s="25">
        <f>IF(OR(D106&lt;=0,C106&gt;Parametry!$C$6),0,ROUND(-PMT(E106/12,MAX(1,Parametry!$C$6-C106+1),D106),2))</f>
        <v/>
      </c>
      <c r="H106" s="18" t="n"/>
      <c r="I106" s="19">
        <f>IF(OR(L106&lt;=0,C106&gt;=Parametry!$C$6),0,ROUND(-PMT(IF(C106+1&lt;=Parametry!$C$9,Parametry!$C$8,Parametry!$C$10)/12,MAX(1,Parametry!$C$6-C106),L106),2))</f>
        <v/>
      </c>
      <c r="J106" s="27">
        <f>IF(D106&lt;=0,0,MIN(G106+N(H106),D106+F106))</f>
        <v/>
      </c>
      <c r="K106" s="25">
        <f>IF(J106&lt;=0,0,MAX(0,J106-F106))</f>
        <v/>
      </c>
      <c r="L106" s="27">
        <f>IF(D106&lt;=0,0,MAX(0,D106-K106))</f>
        <v/>
      </c>
      <c r="M106" s="28">
        <f>IF(OR(L106&lt;=0,G106&lt;=L106*E106/12),0,MAX(0,ROUNDUP(-LN(1-L106*(E106/12)/G106)/LN(1+E106/12),0)))</f>
        <v/>
      </c>
    </row>
    <row r="107" ht="18" customHeight="1">
      <c r="A107" s="13" t="n">
        <v>105</v>
      </c>
      <c r="B107" s="14">
        <f>IF(C107&lt;=Parametry!$C$6,DATE(Parametry!$C$12+INT((Parametry!$C$13+105-2)/12),MOD(Parametry!$C$13+105-2,12)+1,Parametry!$C$11),"")</f>
        <v/>
      </c>
      <c r="C107" s="15" t="n">
        <v>105</v>
      </c>
      <c r="D107" s="16">
        <f>IF(C107&lt;=Parametry!$C$6,L106,0)</f>
        <v/>
      </c>
      <c r="E107" s="17">
        <f>IF(OR(D107&lt;=0,C107&gt;Parametry!$C$6),0,IF(C107&lt;=Parametry!$C$9,Parametry!$C$8,Parametry!$C$10))</f>
        <v/>
      </c>
      <c r="F107" s="16">
        <f>IF(D107&lt;=0,0,D107*E107/12)</f>
        <v/>
      </c>
      <c r="G107" s="16">
        <f>IF(OR(D107&lt;=0,C107&gt;Parametry!$C$6),0,ROUND(-PMT(E107/12,MAX(1,Parametry!$C$6-C107+1),D107),2))</f>
        <v/>
      </c>
      <c r="H107" s="18" t="n"/>
      <c r="I107" s="19">
        <f>IF(OR(L107&lt;=0,C107&gt;=Parametry!$C$6),0,ROUND(-PMT(IF(C107+1&lt;=Parametry!$C$9,Parametry!$C$8,Parametry!$C$10)/12,MAX(1,Parametry!$C$6-C107),L107),2))</f>
        <v/>
      </c>
      <c r="J107" s="20">
        <f>IF(D107&lt;=0,0,MIN(G107+N(H107),D107+F107))</f>
        <v/>
      </c>
      <c r="K107" s="16">
        <f>IF(J107&lt;=0,0,MAX(0,J107-F107))</f>
        <v/>
      </c>
      <c r="L107" s="20">
        <f>IF(D107&lt;=0,0,MAX(0,D107-K107))</f>
        <v/>
      </c>
      <c r="M107" s="21">
        <f>IF(OR(L107&lt;=0,G107&lt;=L107*E107/12),0,MAX(0,ROUNDUP(-LN(1-L107*(E107/12)/G107)/LN(1+E107/12),0)))</f>
        <v/>
      </c>
    </row>
    <row r="108" ht="18" customHeight="1">
      <c r="A108" s="22" t="n">
        <v>106</v>
      </c>
      <c r="B108" s="23">
        <f>IF(C108&lt;=Parametry!$C$6,DATE(Parametry!$C$12+INT((Parametry!$C$13+106-2)/12),MOD(Parametry!$C$13+106-2,12)+1,Parametry!$C$11),"")</f>
        <v/>
      </c>
      <c r="C108" s="24" t="n">
        <v>106</v>
      </c>
      <c r="D108" s="25">
        <f>IF(C108&lt;=Parametry!$C$6,L107,0)</f>
        <v/>
      </c>
      <c r="E108" s="26">
        <f>IF(OR(D108&lt;=0,C108&gt;Parametry!$C$6),0,IF(C108&lt;=Parametry!$C$9,Parametry!$C$8,Parametry!$C$10))</f>
        <v/>
      </c>
      <c r="F108" s="25">
        <f>IF(D108&lt;=0,0,D108*E108/12)</f>
        <v/>
      </c>
      <c r="G108" s="25">
        <f>IF(OR(D108&lt;=0,C108&gt;Parametry!$C$6),0,ROUND(-PMT(E108/12,MAX(1,Parametry!$C$6-C108+1),D108),2))</f>
        <v/>
      </c>
      <c r="H108" s="18" t="n"/>
      <c r="I108" s="19">
        <f>IF(OR(L108&lt;=0,C108&gt;=Parametry!$C$6),0,ROUND(-PMT(IF(C108+1&lt;=Parametry!$C$9,Parametry!$C$8,Parametry!$C$10)/12,MAX(1,Parametry!$C$6-C108),L108),2))</f>
        <v/>
      </c>
      <c r="J108" s="27">
        <f>IF(D108&lt;=0,0,MIN(G108+N(H108),D108+F108))</f>
        <v/>
      </c>
      <c r="K108" s="25">
        <f>IF(J108&lt;=0,0,MAX(0,J108-F108))</f>
        <v/>
      </c>
      <c r="L108" s="27">
        <f>IF(D108&lt;=0,0,MAX(0,D108-K108))</f>
        <v/>
      </c>
      <c r="M108" s="28">
        <f>IF(OR(L108&lt;=0,G108&lt;=L108*E108/12),0,MAX(0,ROUNDUP(-LN(1-L108*(E108/12)/G108)/LN(1+E108/12),0)))</f>
        <v/>
      </c>
    </row>
    <row r="109" ht="18" customHeight="1">
      <c r="A109" s="13" t="n">
        <v>107</v>
      </c>
      <c r="B109" s="14">
        <f>IF(C109&lt;=Parametry!$C$6,DATE(Parametry!$C$12+INT((Parametry!$C$13+107-2)/12),MOD(Parametry!$C$13+107-2,12)+1,Parametry!$C$11),"")</f>
        <v/>
      </c>
      <c r="C109" s="15" t="n">
        <v>107</v>
      </c>
      <c r="D109" s="16">
        <f>IF(C109&lt;=Parametry!$C$6,L108,0)</f>
        <v/>
      </c>
      <c r="E109" s="17">
        <f>IF(OR(D109&lt;=0,C109&gt;Parametry!$C$6),0,IF(C109&lt;=Parametry!$C$9,Parametry!$C$8,Parametry!$C$10))</f>
        <v/>
      </c>
      <c r="F109" s="16">
        <f>IF(D109&lt;=0,0,D109*E109/12)</f>
        <v/>
      </c>
      <c r="G109" s="16">
        <f>IF(OR(D109&lt;=0,C109&gt;Parametry!$C$6),0,ROUND(-PMT(E109/12,MAX(1,Parametry!$C$6-C109+1),D109),2))</f>
        <v/>
      </c>
      <c r="H109" s="18" t="n"/>
      <c r="I109" s="19">
        <f>IF(OR(L109&lt;=0,C109&gt;=Parametry!$C$6),0,ROUND(-PMT(IF(C109+1&lt;=Parametry!$C$9,Parametry!$C$8,Parametry!$C$10)/12,MAX(1,Parametry!$C$6-C109),L109),2))</f>
        <v/>
      </c>
      <c r="J109" s="20">
        <f>IF(D109&lt;=0,0,MIN(G109+N(H109),D109+F109))</f>
        <v/>
      </c>
      <c r="K109" s="16">
        <f>IF(J109&lt;=0,0,MAX(0,J109-F109))</f>
        <v/>
      </c>
      <c r="L109" s="20">
        <f>IF(D109&lt;=0,0,MAX(0,D109-K109))</f>
        <v/>
      </c>
      <c r="M109" s="21">
        <f>IF(OR(L109&lt;=0,G109&lt;=L109*E109/12),0,MAX(0,ROUNDUP(-LN(1-L109*(E109/12)/G109)/LN(1+E109/12),0)))</f>
        <v/>
      </c>
    </row>
    <row r="110" ht="18" customHeight="1">
      <c r="A110" s="22" t="n">
        <v>108</v>
      </c>
      <c r="B110" s="23">
        <f>IF(C110&lt;=Parametry!$C$6,DATE(Parametry!$C$12+INT((Parametry!$C$13+108-2)/12),MOD(Parametry!$C$13+108-2,12)+1,Parametry!$C$11),"")</f>
        <v/>
      </c>
      <c r="C110" s="24" t="n">
        <v>108</v>
      </c>
      <c r="D110" s="25">
        <f>IF(C110&lt;=Parametry!$C$6,L109,0)</f>
        <v/>
      </c>
      <c r="E110" s="26">
        <f>IF(OR(D110&lt;=0,C110&gt;Parametry!$C$6),0,IF(C110&lt;=Parametry!$C$9,Parametry!$C$8,Parametry!$C$10))</f>
        <v/>
      </c>
      <c r="F110" s="25">
        <f>IF(D110&lt;=0,0,D110*E110/12)</f>
        <v/>
      </c>
      <c r="G110" s="25">
        <f>IF(OR(D110&lt;=0,C110&gt;Parametry!$C$6),0,ROUND(-PMT(E110/12,MAX(1,Parametry!$C$6-C110+1),D110),2))</f>
        <v/>
      </c>
      <c r="H110" s="18" t="n"/>
      <c r="I110" s="19">
        <f>IF(OR(L110&lt;=0,C110&gt;=Parametry!$C$6),0,ROUND(-PMT(IF(C110+1&lt;=Parametry!$C$9,Parametry!$C$8,Parametry!$C$10)/12,MAX(1,Parametry!$C$6-C110),L110),2))</f>
        <v/>
      </c>
      <c r="J110" s="27">
        <f>IF(D110&lt;=0,0,MIN(G110+N(H110),D110+F110))</f>
        <v/>
      </c>
      <c r="K110" s="25">
        <f>IF(J110&lt;=0,0,MAX(0,J110-F110))</f>
        <v/>
      </c>
      <c r="L110" s="27">
        <f>IF(D110&lt;=0,0,MAX(0,D110-K110))</f>
        <v/>
      </c>
      <c r="M110" s="28">
        <f>IF(OR(L110&lt;=0,G110&lt;=L110*E110/12),0,MAX(0,ROUNDUP(-LN(1-L110*(E110/12)/G110)/LN(1+E110/12),0)))</f>
        <v/>
      </c>
    </row>
    <row r="111" ht="18" customHeight="1">
      <c r="A111" s="13" t="n">
        <v>109</v>
      </c>
      <c r="B111" s="14">
        <f>IF(C111&lt;=Parametry!$C$6,DATE(Parametry!$C$12+INT((Parametry!$C$13+109-2)/12),MOD(Parametry!$C$13+109-2,12)+1,Parametry!$C$11),"")</f>
        <v/>
      </c>
      <c r="C111" s="15" t="n">
        <v>109</v>
      </c>
      <c r="D111" s="16">
        <f>IF(C111&lt;=Parametry!$C$6,L110,0)</f>
        <v/>
      </c>
      <c r="E111" s="17">
        <f>IF(OR(D111&lt;=0,C111&gt;Parametry!$C$6),0,IF(C111&lt;=Parametry!$C$9,Parametry!$C$8,Parametry!$C$10))</f>
        <v/>
      </c>
      <c r="F111" s="16">
        <f>IF(D111&lt;=0,0,D111*E111/12)</f>
        <v/>
      </c>
      <c r="G111" s="16">
        <f>IF(OR(D111&lt;=0,C111&gt;Parametry!$C$6),0,ROUND(-PMT(E111/12,MAX(1,Parametry!$C$6-C111+1),D111),2))</f>
        <v/>
      </c>
      <c r="H111" s="18" t="n"/>
      <c r="I111" s="19">
        <f>IF(OR(L111&lt;=0,C111&gt;=Parametry!$C$6),0,ROUND(-PMT(IF(C111+1&lt;=Parametry!$C$9,Parametry!$C$8,Parametry!$C$10)/12,MAX(1,Parametry!$C$6-C111),L111),2))</f>
        <v/>
      </c>
      <c r="J111" s="20">
        <f>IF(D111&lt;=0,0,MIN(G111+N(H111),D111+F111))</f>
        <v/>
      </c>
      <c r="K111" s="16">
        <f>IF(J111&lt;=0,0,MAX(0,J111-F111))</f>
        <v/>
      </c>
      <c r="L111" s="20">
        <f>IF(D111&lt;=0,0,MAX(0,D111-K111))</f>
        <v/>
      </c>
      <c r="M111" s="21">
        <f>IF(OR(L111&lt;=0,G111&lt;=L111*E111/12),0,MAX(0,ROUNDUP(-LN(1-L111*(E111/12)/G111)/LN(1+E111/12),0)))</f>
        <v/>
      </c>
    </row>
    <row r="112" ht="18" customHeight="1">
      <c r="A112" s="22" t="n">
        <v>110</v>
      </c>
      <c r="B112" s="23">
        <f>IF(C112&lt;=Parametry!$C$6,DATE(Parametry!$C$12+INT((Parametry!$C$13+110-2)/12),MOD(Parametry!$C$13+110-2,12)+1,Parametry!$C$11),"")</f>
        <v/>
      </c>
      <c r="C112" s="24" t="n">
        <v>110</v>
      </c>
      <c r="D112" s="25">
        <f>IF(C112&lt;=Parametry!$C$6,L111,0)</f>
        <v/>
      </c>
      <c r="E112" s="26">
        <f>IF(OR(D112&lt;=0,C112&gt;Parametry!$C$6),0,IF(C112&lt;=Parametry!$C$9,Parametry!$C$8,Parametry!$C$10))</f>
        <v/>
      </c>
      <c r="F112" s="25">
        <f>IF(D112&lt;=0,0,D112*E112/12)</f>
        <v/>
      </c>
      <c r="G112" s="25">
        <f>IF(OR(D112&lt;=0,C112&gt;Parametry!$C$6),0,ROUND(-PMT(E112/12,MAX(1,Parametry!$C$6-C112+1),D112),2))</f>
        <v/>
      </c>
      <c r="H112" s="18" t="n"/>
      <c r="I112" s="19">
        <f>IF(OR(L112&lt;=0,C112&gt;=Parametry!$C$6),0,ROUND(-PMT(IF(C112+1&lt;=Parametry!$C$9,Parametry!$C$8,Parametry!$C$10)/12,MAX(1,Parametry!$C$6-C112),L112),2))</f>
        <v/>
      </c>
      <c r="J112" s="27">
        <f>IF(D112&lt;=0,0,MIN(G112+N(H112),D112+F112))</f>
        <v/>
      </c>
      <c r="K112" s="25">
        <f>IF(J112&lt;=0,0,MAX(0,J112-F112))</f>
        <v/>
      </c>
      <c r="L112" s="27">
        <f>IF(D112&lt;=0,0,MAX(0,D112-K112))</f>
        <v/>
      </c>
      <c r="M112" s="28">
        <f>IF(OR(L112&lt;=0,G112&lt;=L112*E112/12),0,MAX(0,ROUNDUP(-LN(1-L112*(E112/12)/G112)/LN(1+E112/12),0)))</f>
        <v/>
      </c>
    </row>
    <row r="113" ht="18" customHeight="1">
      <c r="A113" s="13" t="n">
        <v>111</v>
      </c>
      <c r="B113" s="14">
        <f>IF(C113&lt;=Parametry!$C$6,DATE(Parametry!$C$12+INT((Parametry!$C$13+111-2)/12),MOD(Parametry!$C$13+111-2,12)+1,Parametry!$C$11),"")</f>
        <v/>
      </c>
      <c r="C113" s="15" t="n">
        <v>111</v>
      </c>
      <c r="D113" s="16">
        <f>IF(C113&lt;=Parametry!$C$6,L112,0)</f>
        <v/>
      </c>
      <c r="E113" s="17">
        <f>IF(OR(D113&lt;=0,C113&gt;Parametry!$C$6),0,IF(C113&lt;=Parametry!$C$9,Parametry!$C$8,Parametry!$C$10))</f>
        <v/>
      </c>
      <c r="F113" s="16">
        <f>IF(D113&lt;=0,0,D113*E113/12)</f>
        <v/>
      </c>
      <c r="G113" s="16">
        <f>IF(OR(D113&lt;=0,C113&gt;Parametry!$C$6),0,ROUND(-PMT(E113/12,MAX(1,Parametry!$C$6-C113+1),D113),2))</f>
        <v/>
      </c>
      <c r="H113" s="18" t="n"/>
      <c r="I113" s="19">
        <f>IF(OR(L113&lt;=0,C113&gt;=Parametry!$C$6),0,ROUND(-PMT(IF(C113+1&lt;=Parametry!$C$9,Parametry!$C$8,Parametry!$C$10)/12,MAX(1,Parametry!$C$6-C113),L113),2))</f>
        <v/>
      </c>
      <c r="J113" s="20">
        <f>IF(D113&lt;=0,0,MIN(G113+N(H113),D113+F113))</f>
        <v/>
      </c>
      <c r="K113" s="16">
        <f>IF(J113&lt;=0,0,MAX(0,J113-F113))</f>
        <v/>
      </c>
      <c r="L113" s="20">
        <f>IF(D113&lt;=0,0,MAX(0,D113-K113))</f>
        <v/>
      </c>
      <c r="M113" s="21">
        <f>IF(OR(L113&lt;=0,G113&lt;=L113*E113/12),0,MAX(0,ROUNDUP(-LN(1-L113*(E113/12)/G113)/LN(1+E113/12),0)))</f>
        <v/>
      </c>
    </row>
    <row r="114" ht="18" customHeight="1">
      <c r="A114" s="22" t="n">
        <v>112</v>
      </c>
      <c r="B114" s="23">
        <f>IF(C114&lt;=Parametry!$C$6,DATE(Parametry!$C$12+INT((Parametry!$C$13+112-2)/12),MOD(Parametry!$C$13+112-2,12)+1,Parametry!$C$11),"")</f>
        <v/>
      </c>
      <c r="C114" s="24" t="n">
        <v>112</v>
      </c>
      <c r="D114" s="25">
        <f>IF(C114&lt;=Parametry!$C$6,L113,0)</f>
        <v/>
      </c>
      <c r="E114" s="26">
        <f>IF(OR(D114&lt;=0,C114&gt;Parametry!$C$6),0,IF(C114&lt;=Parametry!$C$9,Parametry!$C$8,Parametry!$C$10))</f>
        <v/>
      </c>
      <c r="F114" s="25">
        <f>IF(D114&lt;=0,0,D114*E114/12)</f>
        <v/>
      </c>
      <c r="G114" s="25">
        <f>IF(OR(D114&lt;=0,C114&gt;Parametry!$C$6),0,ROUND(-PMT(E114/12,MAX(1,Parametry!$C$6-C114+1),D114),2))</f>
        <v/>
      </c>
      <c r="H114" s="18" t="n"/>
      <c r="I114" s="19">
        <f>IF(OR(L114&lt;=0,C114&gt;=Parametry!$C$6),0,ROUND(-PMT(IF(C114+1&lt;=Parametry!$C$9,Parametry!$C$8,Parametry!$C$10)/12,MAX(1,Parametry!$C$6-C114),L114),2))</f>
        <v/>
      </c>
      <c r="J114" s="27">
        <f>IF(D114&lt;=0,0,MIN(G114+N(H114),D114+F114))</f>
        <v/>
      </c>
      <c r="K114" s="25">
        <f>IF(J114&lt;=0,0,MAX(0,J114-F114))</f>
        <v/>
      </c>
      <c r="L114" s="27">
        <f>IF(D114&lt;=0,0,MAX(0,D114-K114))</f>
        <v/>
      </c>
      <c r="M114" s="28">
        <f>IF(OR(L114&lt;=0,G114&lt;=L114*E114/12),0,MAX(0,ROUNDUP(-LN(1-L114*(E114/12)/G114)/LN(1+E114/12),0)))</f>
        <v/>
      </c>
    </row>
    <row r="115" ht="18" customHeight="1">
      <c r="A115" s="13" t="n">
        <v>113</v>
      </c>
      <c r="B115" s="14">
        <f>IF(C115&lt;=Parametry!$C$6,DATE(Parametry!$C$12+INT((Parametry!$C$13+113-2)/12),MOD(Parametry!$C$13+113-2,12)+1,Parametry!$C$11),"")</f>
        <v/>
      </c>
      <c r="C115" s="15" t="n">
        <v>113</v>
      </c>
      <c r="D115" s="16">
        <f>IF(C115&lt;=Parametry!$C$6,L114,0)</f>
        <v/>
      </c>
      <c r="E115" s="17">
        <f>IF(OR(D115&lt;=0,C115&gt;Parametry!$C$6),0,IF(C115&lt;=Parametry!$C$9,Parametry!$C$8,Parametry!$C$10))</f>
        <v/>
      </c>
      <c r="F115" s="16">
        <f>IF(D115&lt;=0,0,D115*E115/12)</f>
        <v/>
      </c>
      <c r="G115" s="16">
        <f>IF(OR(D115&lt;=0,C115&gt;Parametry!$C$6),0,ROUND(-PMT(E115/12,MAX(1,Parametry!$C$6-C115+1),D115),2))</f>
        <v/>
      </c>
      <c r="H115" s="18" t="n"/>
      <c r="I115" s="19">
        <f>IF(OR(L115&lt;=0,C115&gt;=Parametry!$C$6),0,ROUND(-PMT(IF(C115+1&lt;=Parametry!$C$9,Parametry!$C$8,Parametry!$C$10)/12,MAX(1,Parametry!$C$6-C115),L115),2))</f>
        <v/>
      </c>
      <c r="J115" s="20">
        <f>IF(D115&lt;=0,0,MIN(G115+N(H115),D115+F115))</f>
        <v/>
      </c>
      <c r="K115" s="16">
        <f>IF(J115&lt;=0,0,MAX(0,J115-F115))</f>
        <v/>
      </c>
      <c r="L115" s="20">
        <f>IF(D115&lt;=0,0,MAX(0,D115-K115))</f>
        <v/>
      </c>
      <c r="M115" s="21">
        <f>IF(OR(L115&lt;=0,G115&lt;=L115*E115/12),0,MAX(0,ROUNDUP(-LN(1-L115*(E115/12)/G115)/LN(1+E115/12),0)))</f>
        <v/>
      </c>
    </row>
    <row r="116" ht="18" customHeight="1">
      <c r="A116" s="22" t="n">
        <v>114</v>
      </c>
      <c r="B116" s="23">
        <f>IF(C116&lt;=Parametry!$C$6,DATE(Parametry!$C$12+INT((Parametry!$C$13+114-2)/12),MOD(Parametry!$C$13+114-2,12)+1,Parametry!$C$11),"")</f>
        <v/>
      </c>
      <c r="C116" s="24" t="n">
        <v>114</v>
      </c>
      <c r="D116" s="25">
        <f>IF(C116&lt;=Parametry!$C$6,L115,0)</f>
        <v/>
      </c>
      <c r="E116" s="26">
        <f>IF(OR(D116&lt;=0,C116&gt;Parametry!$C$6),0,IF(C116&lt;=Parametry!$C$9,Parametry!$C$8,Parametry!$C$10))</f>
        <v/>
      </c>
      <c r="F116" s="25">
        <f>IF(D116&lt;=0,0,D116*E116/12)</f>
        <v/>
      </c>
      <c r="G116" s="25">
        <f>IF(OR(D116&lt;=0,C116&gt;Parametry!$C$6),0,ROUND(-PMT(E116/12,MAX(1,Parametry!$C$6-C116+1),D116),2))</f>
        <v/>
      </c>
      <c r="H116" s="18" t="n"/>
      <c r="I116" s="19">
        <f>IF(OR(L116&lt;=0,C116&gt;=Parametry!$C$6),0,ROUND(-PMT(IF(C116+1&lt;=Parametry!$C$9,Parametry!$C$8,Parametry!$C$10)/12,MAX(1,Parametry!$C$6-C116),L116),2))</f>
        <v/>
      </c>
      <c r="J116" s="27">
        <f>IF(D116&lt;=0,0,MIN(G116+N(H116),D116+F116))</f>
        <v/>
      </c>
      <c r="K116" s="25">
        <f>IF(J116&lt;=0,0,MAX(0,J116-F116))</f>
        <v/>
      </c>
      <c r="L116" s="27">
        <f>IF(D116&lt;=0,0,MAX(0,D116-K116))</f>
        <v/>
      </c>
      <c r="M116" s="28">
        <f>IF(OR(L116&lt;=0,G116&lt;=L116*E116/12),0,MAX(0,ROUNDUP(-LN(1-L116*(E116/12)/G116)/LN(1+E116/12),0)))</f>
        <v/>
      </c>
    </row>
    <row r="117" ht="18" customHeight="1">
      <c r="A117" s="13" t="n">
        <v>115</v>
      </c>
      <c r="B117" s="14">
        <f>IF(C117&lt;=Parametry!$C$6,DATE(Parametry!$C$12+INT((Parametry!$C$13+115-2)/12),MOD(Parametry!$C$13+115-2,12)+1,Parametry!$C$11),"")</f>
        <v/>
      </c>
      <c r="C117" s="15" t="n">
        <v>115</v>
      </c>
      <c r="D117" s="16">
        <f>IF(C117&lt;=Parametry!$C$6,L116,0)</f>
        <v/>
      </c>
      <c r="E117" s="17">
        <f>IF(OR(D117&lt;=0,C117&gt;Parametry!$C$6),0,IF(C117&lt;=Parametry!$C$9,Parametry!$C$8,Parametry!$C$10))</f>
        <v/>
      </c>
      <c r="F117" s="16">
        <f>IF(D117&lt;=0,0,D117*E117/12)</f>
        <v/>
      </c>
      <c r="G117" s="16">
        <f>IF(OR(D117&lt;=0,C117&gt;Parametry!$C$6),0,ROUND(-PMT(E117/12,MAX(1,Parametry!$C$6-C117+1),D117),2))</f>
        <v/>
      </c>
      <c r="H117" s="18" t="n"/>
      <c r="I117" s="19">
        <f>IF(OR(L117&lt;=0,C117&gt;=Parametry!$C$6),0,ROUND(-PMT(IF(C117+1&lt;=Parametry!$C$9,Parametry!$C$8,Parametry!$C$10)/12,MAX(1,Parametry!$C$6-C117),L117),2))</f>
        <v/>
      </c>
      <c r="J117" s="20">
        <f>IF(D117&lt;=0,0,MIN(G117+N(H117),D117+F117))</f>
        <v/>
      </c>
      <c r="K117" s="16">
        <f>IF(J117&lt;=0,0,MAX(0,J117-F117))</f>
        <v/>
      </c>
      <c r="L117" s="20">
        <f>IF(D117&lt;=0,0,MAX(0,D117-K117))</f>
        <v/>
      </c>
      <c r="M117" s="21">
        <f>IF(OR(L117&lt;=0,G117&lt;=L117*E117/12),0,MAX(0,ROUNDUP(-LN(1-L117*(E117/12)/G117)/LN(1+E117/12),0)))</f>
        <v/>
      </c>
    </row>
    <row r="118" ht="18" customHeight="1">
      <c r="A118" s="22" t="n">
        <v>116</v>
      </c>
      <c r="B118" s="23">
        <f>IF(C118&lt;=Parametry!$C$6,DATE(Parametry!$C$12+INT((Parametry!$C$13+116-2)/12),MOD(Parametry!$C$13+116-2,12)+1,Parametry!$C$11),"")</f>
        <v/>
      </c>
      <c r="C118" s="24" t="n">
        <v>116</v>
      </c>
      <c r="D118" s="25">
        <f>IF(C118&lt;=Parametry!$C$6,L117,0)</f>
        <v/>
      </c>
      <c r="E118" s="26">
        <f>IF(OR(D118&lt;=0,C118&gt;Parametry!$C$6),0,IF(C118&lt;=Parametry!$C$9,Parametry!$C$8,Parametry!$C$10))</f>
        <v/>
      </c>
      <c r="F118" s="25">
        <f>IF(D118&lt;=0,0,D118*E118/12)</f>
        <v/>
      </c>
      <c r="G118" s="25">
        <f>IF(OR(D118&lt;=0,C118&gt;Parametry!$C$6),0,ROUND(-PMT(E118/12,MAX(1,Parametry!$C$6-C118+1),D118),2))</f>
        <v/>
      </c>
      <c r="H118" s="18" t="n"/>
      <c r="I118" s="19">
        <f>IF(OR(L118&lt;=0,C118&gt;=Parametry!$C$6),0,ROUND(-PMT(IF(C118+1&lt;=Parametry!$C$9,Parametry!$C$8,Parametry!$C$10)/12,MAX(1,Parametry!$C$6-C118),L118),2))</f>
        <v/>
      </c>
      <c r="J118" s="27">
        <f>IF(D118&lt;=0,0,MIN(G118+N(H118),D118+F118))</f>
        <v/>
      </c>
      <c r="K118" s="25">
        <f>IF(J118&lt;=0,0,MAX(0,J118-F118))</f>
        <v/>
      </c>
      <c r="L118" s="27">
        <f>IF(D118&lt;=0,0,MAX(0,D118-K118))</f>
        <v/>
      </c>
      <c r="M118" s="28">
        <f>IF(OR(L118&lt;=0,G118&lt;=L118*E118/12),0,MAX(0,ROUNDUP(-LN(1-L118*(E118/12)/G118)/LN(1+E118/12),0)))</f>
        <v/>
      </c>
    </row>
    <row r="119" ht="18" customHeight="1">
      <c r="A119" s="13" t="n">
        <v>117</v>
      </c>
      <c r="B119" s="14">
        <f>IF(C119&lt;=Parametry!$C$6,DATE(Parametry!$C$12+INT((Parametry!$C$13+117-2)/12),MOD(Parametry!$C$13+117-2,12)+1,Parametry!$C$11),"")</f>
        <v/>
      </c>
      <c r="C119" s="15" t="n">
        <v>117</v>
      </c>
      <c r="D119" s="16">
        <f>IF(C119&lt;=Parametry!$C$6,L118,0)</f>
        <v/>
      </c>
      <c r="E119" s="17">
        <f>IF(OR(D119&lt;=0,C119&gt;Parametry!$C$6),0,IF(C119&lt;=Parametry!$C$9,Parametry!$C$8,Parametry!$C$10))</f>
        <v/>
      </c>
      <c r="F119" s="16">
        <f>IF(D119&lt;=0,0,D119*E119/12)</f>
        <v/>
      </c>
      <c r="G119" s="16">
        <f>IF(OR(D119&lt;=0,C119&gt;Parametry!$C$6),0,ROUND(-PMT(E119/12,MAX(1,Parametry!$C$6-C119+1),D119),2))</f>
        <v/>
      </c>
      <c r="H119" s="18" t="n"/>
      <c r="I119" s="19">
        <f>IF(OR(L119&lt;=0,C119&gt;=Parametry!$C$6),0,ROUND(-PMT(IF(C119+1&lt;=Parametry!$C$9,Parametry!$C$8,Parametry!$C$10)/12,MAX(1,Parametry!$C$6-C119),L119),2))</f>
        <v/>
      </c>
      <c r="J119" s="20">
        <f>IF(D119&lt;=0,0,MIN(G119+N(H119),D119+F119))</f>
        <v/>
      </c>
      <c r="K119" s="16">
        <f>IF(J119&lt;=0,0,MAX(0,J119-F119))</f>
        <v/>
      </c>
      <c r="L119" s="20">
        <f>IF(D119&lt;=0,0,MAX(0,D119-K119))</f>
        <v/>
      </c>
      <c r="M119" s="21">
        <f>IF(OR(L119&lt;=0,G119&lt;=L119*E119/12),0,MAX(0,ROUNDUP(-LN(1-L119*(E119/12)/G119)/LN(1+E119/12),0)))</f>
        <v/>
      </c>
    </row>
    <row r="120" ht="18" customHeight="1">
      <c r="A120" s="22" t="n">
        <v>118</v>
      </c>
      <c r="B120" s="23">
        <f>IF(C120&lt;=Parametry!$C$6,DATE(Parametry!$C$12+INT((Parametry!$C$13+118-2)/12),MOD(Parametry!$C$13+118-2,12)+1,Parametry!$C$11),"")</f>
        <v/>
      </c>
      <c r="C120" s="24" t="n">
        <v>118</v>
      </c>
      <c r="D120" s="25">
        <f>IF(C120&lt;=Parametry!$C$6,L119,0)</f>
        <v/>
      </c>
      <c r="E120" s="26">
        <f>IF(OR(D120&lt;=0,C120&gt;Parametry!$C$6),0,IF(C120&lt;=Parametry!$C$9,Parametry!$C$8,Parametry!$C$10))</f>
        <v/>
      </c>
      <c r="F120" s="25">
        <f>IF(D120&lt;=0,0,D120*E120/12)</f>
        <v/>
      </c>
      <c r="G120" s="25">
        <f>IF(OR(D120&lt;=0,C120&gt;Parametry!$C$6),0,ROUND(-PMT(E120/12,MAX(1,Parametry!$C$6-C120+1),D120),2))</f>
        <v/>
      </c>
      <c r="H120" s="18" t="n"/>
      <c r="I120" s="19">
        <f>IF(OR(L120&lt;=0,C120&gt;=Parametry!$C$6),0,ROUND(-PMT(IF(C120+1&lt;=Parametry!$C$9,Parametry!$C$8,Parametry!$C$10)/12,MAX(1,Parametry!$C$6-C120),L120),2))</f>
        <v/>
      </c>
      <c r="J120" s="27">
        <f>IF(D120&lt;=0,0,MIN(G120+N(H120),D120+F120))</f>
        <v/>
      </c>
      <c r="K120" s="25">
        <f>IF(J120&lt;=0,0,MAX(0,J120-F120))</f>
        <v/>
      </c>
      <c r="L120" s="27">
        <f>IF(D120&lt;=0,0,MAX(0,D120-K120))</f>
        <v/>
      </c>
      <c r="M120" s="28">
        <f>IF(OR(L120&lt;=0,G120&lt;=L120*E120/12),0,MAX(0,ROUNDUP(-LN(1-L120*(E120/12)/G120)/LN(1+E120/12),0)))</f>
        <v/>
      </c>
    </row>
    <row r="121" ht="18" customHeight="1">
      <c r="A121" s="13" t="n">
        <v>119</v>
      </c>
      <c r="B121" s="14">
        <f>IF(C121&lt;=Parametry!$C$6,DATE(Parametry!$C$12+INT((Parametry!$C$13+119-2)/12),MOD(Parametry!$C$13+119-2,12)+1,Parametry!$C$11),"")</f>
        <v/>
      </c>
      <c r="C121" s="15" t="n">
        <v>119</v>
      </c>
      <c r="D121" s="16">
        <f>IF(C121&lt;=Parametry!$C$6,L120,0)</f>
        <v/>
      </c>
      <c r="E121" s="17">
        <f>IF(OR(D121&lt;=0,C121&gt;Parametry!$C$6),0,IF(C121&lt;=Parametry!$C$9,Parametry!$C$8,Parametry!$C$10))</f>
        <v/>
      </c>
      <c r="F121" s="16">
        <f>IF(D121&lt;=0,0,D121*E121/12)</f>
        <v/>
      </c>
      <c r="G121" s="16">
        <f>IF(OR(D121&lt;=0,C121&gt;Parametry!$C$6),0,ROUND(-PMT(E121/12,MAX(1,Parametry!$C$6-C121+1),D121),2))</f>
        <v/>
      </c>
      <c r="H121" s="18" t="n"/>
      <c r="I121" s="19">
        <f>IF(OR(L121&lt;=0,C121&gt;=Parametry!$C$6),0,ROUND(-PMT(IF(C121+1&lt;=Parametry!$C$9,Parametry!$C$8,Parametry!$C$10)/12,MAX(1,Parametry!$C$6-C121),L121),2))</f>
        <v/>
      </c>
      <c r="J121" s="20">
        <f>IF(D121&lt;=0,0,MIN(G121+N(H121),D121+F121))</f>
        <v/>
      </c>
      <c r="K121" s="16">
        <f>IF(J121&lt;=0,0,MAX(0,J121-F121))</f>
        <v/>
      </c>
      <c r="L121" s="20">
        <f>IF(D121&lt;=0,0,MAX(0,D121-K121))</f>
        <v/>
      </c>
      <c r="M121" s="21">
        <f>IF(OR(L121&lt;=0,G121&lt;=L121*E121/12),0,MAX(0,ROUNDUP(-LN(1-L121*(E121/12)/G121)/LN(1+E121/12),0)))</f>
        <v/>
      </c>
    </row>
    <row r="122" ht="18" customHeight="1">
      <c r="A122" s="22" t="n">
        <v>120</v>
      </c>
      <c r="B122" s="23">
        <f>IF(C122&lt;=Parametry!$C$6,DATE(Parametry!$C$12+INT((Parametry!$C$13+120-2)/12),MOD(Parametry!$C$13+120-2,12)+1,Parametry!$C$11),"")</f>
        <v/>
      </c>
      <c r="C122" s="24" t="n">
        <v>120</v>
      </c>
      <c r="D122" s="25">
        <f>IF(C122&lt;=Parametry!$C$6,L121,0)</f>
        <v/>
      </c>
      <c r="E122" s="26">
        <f>IF(OR(D122&lt;=0,C122&gt;Parametry!$C$6),0,IF(C122&lt;=Parametry!$C$9,Parametry!$C$8,Parametry!$C$10))</f>
        <v/>
      </c>
      <c r="F122" s="25">
        <f>IF(D122&lt;=0,0,D122*E122/12)</f>
        <v/>
      </c>
      <c r="G122" s="25">
        <f>IF(OR(D122&lt;=0,C122&gt;Parametry!$C$6),0,ROUND(-PMT(E122/12,MAX(1,Parametry!$C$6-C122+1),D122),2))</f>
        <v/>
      </c>
      <c r="H122" s="18" t="n"/>
      <c r="I122" s="19">
        <f>IF(OR(L122&lt;=0,C122&gt;=Parametry!$C$6),0,ROUND(-PMT(IF(C122+1&lt;=Parametry!$C$9,Parametry!$C$8,Parametry!$C$10)/12,MAX(1,Parametry!$C$6-C122),L122),2))</f>
        <v/>
      </c>
      <c r="J122" s="27">
        <f>IF(D122&lt;=0,0,MIN(G122+N(H122),D122+F122))</f>
        <v/>
      </c>
      <c r="K122" s="25">
        <f>IF(J122&lt;=0,0,MAX(0,J122-F122))</f>
        <v/>
      </c>
      <c r="L122" s="27">
        <f>IF(D122&lt;=0,0,MAX(0,D122-K122))</f>
        <v/>
      </c>
      <c r="M122" s="28">
        <f>IF(OR(L122&lt;=0,G122&lt;=L122*E122/12),0,MAX(0,ROUNDUP(-LN(1-L122*(E122/12)/G122)/LN(1+E122/12),0)))</f>
        <v/>
      </c>
    </row>
    <row r="123" ht="18" customHeight="1">
      <c r="A123" s="13" t="n">
        <v>121</v>
      </c>
      <c r="B123" s="14">
        <f>IF(C123&lt;=Parametry!$C$6,DATE(Parametry!$C$12+INT((Parametry!$C$13+121-2)/12),MOD(Parametry!$C$13+121-2,12)+1,Parametry!$C$11),"")</f>
        <v/>
      </c>
      <c r="C123" s="15" t="n">
        <v>121</v>
      </c>
      <c r="D123" s="16">
        <f>IF(C123&lt;=Parametry!$C$6,L122,0)</f>
        <v/>
      </c>
      <c r="E123" s="17">
        <f>IF(OR(D123&lt;=0,C123&gt;Parametry!$C$6),0,IF(C123&lt;=Parametry!$C$9,Parametry!$C$8,Parametry!$C$10))</f>
        <v/>
      </c>
      <c r="F123" s="16">
        <f>IF(D123&lt;=0,0,D123*E123/12)</f>
        <v/>
      </c>
      <c r="G123" s="16">
        <f>IF(OR(D123&lt;=0,C123&gt;Parametry!$C$6),0,ROUND(-PMT(E123/12,MAX(1,Parametry!$C$6-C123+1),D123),2))</f>
        <v/>
      </c>
      <c r="H123" s="18" t="n"/>
      <c r="I123" s="19">
        <f>IF(OR(L123&lt;=0,C123&gt;=Parametry!$C$6),0,ROUND(-PMT(IF(C123+1&lt;=Parametry!$C$9,Parametry!$C$8,Parametry!$C$10)/12,MAX(1,Parametry!$C$6-C123),L123),2))</f>
        <v/>
      </c>
      <c r="J123" s="20">
        <f>IF(D123&lt;=0,0,MIN(G123+N(H123),D123+F123))</f>
        <v/>
      </c>
      <c r="K123" s="16">
        <f>IF(J123&lt;=0,0,MAX(0,J123-F123))</f>
        <v/>
      </c>
      <c r="L123" s="20">
        <f>IF(D123&lt;=0,0,MAX(0,D123-K123))</f>
        <v/>
      </c>
      <c r="M123" s="21">
        <f>IF(OR(L123&lt;=0,G123&lt;=L123*E123/12),0,MAX(0,ROUNDUP(-LN(1-L123*(E123/12)/G123)/LN(1+E123/12),0)))</f>
        <v/>
      </c>
    </row>
    <row r="124" ht="18" customHeight="1">
      <c r="A124" s="22" t="n">
        <v>122</v>
      </c>
      <c r="B124" s="23">
        <f>IF(C124&lt;=Parametry!$C$6,DATE(Parametry!$C$12+INT((Parametry!$C$13+122-2)/12),MOD(Parametry!$C$13+122-2,12)+1,Parametry!$C$11),"")</f>
        <v/>
      </c>
      <c r="C124" s="24" t="n">
        <v>122</v>
      </c>
      <c r="D124" s="25">
        <f>IF(C124&lt;=Parametry!$C$6,L123,0)</f>
        <v/>
      </c>
      <c r="E124" s="26">
        <f>IF(OR(D124&lt;=0,C124&gt;Parametry!$C$6),0,IF(C124&lt;=Parametry!$C$9,Parametry!$C$8,Parametry!$C$10))</f>
        <v/>
      </c>
      <c r="F124" s="25">
        <f>IF(D124&lt;=0,0,D124*E124/12)</f>
        <v/>
      </c>
      <c r="G124" s="25">
        <f>IF(OR(D124&lt;=0,C124&gt;Parametry!$C$6),0,ROUND(-PMT(E124/12,MAX(1,Parametry!$C$6-C124+1),D124),2))</f>
        <v/>
      </c>
      <c r="H124" s="18" t="n"/>
      <c r="I124" s="19">
        <f>IF(OR(L124&lt;=0,C124&gt;=Parametry!$C$6),0,ROUND(-PMT(IF(C124+1&lt;=Parametry!$C$9,Parametry!$C$8,Parametry!$C$10)/12,MAX(1,Parametry!$C$6-C124),L124),2))</f>
        <v/>
      </c>
      <c r="J124" s="27">
        <f>IF(D124&lt;=0,0,MIN(G124+N(H124),D124+F124))</f>
        <v/>
      </c>
      <c r="K124" s="25">
        <f>IF(J124&lt;=0,0,MAX(0,J124-F124))</f>
        <v/>
      </c>
      <c r="L124" s="27">
        <f>IF(D124&lt;=0,0,MAX(0,D124-K124))</f>
        <v/>
      </c>
      <c r="M124" s="28">
        <f>IF(OR(L124&lt;=0,G124&lt;=L124*E124/12),0,MAX(0,ROUNDUP(-LN(1-L124*(E124/12)/G124)/LN(1+E124/12),0)))</f>
        <v/>
      </c>
    </row>
    <row r="125" ht="18" customHeight="1">
      <c r="A125" s="13" t="n">
        <v>123</v>
      </c>
      <c r="B125" s="14">
        <f>IF(C125&lt;=Parametry!$C$6,DATE(Parametry!$C$12+INT((Parametry!$C$13+123-2)/12),MOD(Parametry!$C$13+123-2,12)+1,Parametry!$C$11),"")</f>
        <v/>
      </c>
      <c r="C125" s="15" t="n">
        <v>123</v>
      </c>
      <c r="D125" s="16">
        <f>IF(C125&lt;=Parametry!$C$6,L124,0)</f>
        <v/>
      </c>
      <c r="E125" s="17">
        <f>IF(OR(D125&lt;=0,C125&gt;Parametry!$C$6),0,IF(C125&lt;=Parametry!$C$9,Parametry!$C$8,Parametry!$C$10))</f>
        <v/>
      </c>
      <c r="F125" s="16">
        <f>IF(D125&lt;=0,0,D125*E125/12)</f>
        <v/>
      </c>
      <c r="G125" s="16">
        <f>IF(OR(D125&lt;=0,C125&gt;Parametry!$C$6),0,ROUND(-PMT(E125/12,MAX(1,Parametry!$C$6-C125+1),D125),2))</f>
        <v/>
      </c>
      <c r="H125" s="18" t="n"/>
      <c r="I125" s="19">
        <f>IF(OR(L125&lt;=0,C125&gt;=Parametry!$C$6),0,ROUND(-PMT(IF(C125+1&lt;=Parametry!$C$9,Parametry!$C$8,Parametry!$C$10)/12,MAX(1,Parametry!$C$6-C125),L125),2))</f>
        <v/>
      </c>
      <c r="J125" s="20">
        <f>IF(D125&lt;=0,0,MIN(G125+N(H125),D125+F125))</f>
        <v/>
      </c>
      <c r="K125" s="16">
        <f>IF(J125&lt;=0,0,MAX(0,J125-F125))</f>
        <v/>
      </c>
      <c r="L125" s="20">
        <f>IF(D125&lt;=0,0,MAX(0,D125-K125))</f>
        <v/>
      </c>
      <c r="M125" s="21">
        <f>IF(OR(L125&lt;=0,G125&lt;=L125*E125/12),0,MAX(0,ROUNDUP(-LN(1-L125*(E125/12)/G125)/LN(1+E125/12),0)))</f>
        <v/>
      </c>
    </row>
    <row r="126" ht="18" customHeight="1">
      <c r="A126" s="22" t="n">
        <v>124</v>
      </c>
      <c r="B126" s="23">
        <f>IF(C126&lt;=Parametry!$C$6,DATE(Parametry!$C$12+INT((Parametry!$C$13+124-2)/12),MOD(Parametry!$C$13+124-2,12)+1,Parametry!$C$11),"")</f>
        <v/>
      </c>
      <c r="C126" s="24" t="n">
        <v>124</v>
      </c>
      <c r="D126" s="25">
        <f>IF(C126&lt;=Parametry!$C$6,L125,0)</f>
        <v/>
      </c>
      <c r="E126" s="26">
        <f>IF(OR(D126&lt;=0,C126&gt;Parametry!$C$6),0,IF(C126&lt;=Parametry!$C$9,Parametry!$C$8,Parametry!$C$10))</f>
        <v/>
      </c>
      <c r="F126" s="25">
        <f>IF(D126&lt;=0,0,D126*E126/12)</f>
        <v/>
      </c>
      <c r="G126" s="25">
        <f>IF(OR(D126&lt;=0,C126&gt;Parametry!$C$6),0,ROUND(-PMT(E126/12,MAX(1,Parametry!$C$6-C126+1),D126),2))</f>
        <v/>
      </c>
      <c r="H126" s="18" t="n"/>
      <c r="I126" s="19">
        <f>IF(OR(L126&lt;=0,C126&gt;=Parametry!$C$6),0,ROUND(-PMT(IF(C126+1&lt;=Parametry!$C$9,Parametry!$C$8,Parametry!$C$10)/12,MAX(1,Parametry!$C$6-C126),L126),2))</f>
        <v/>
      </c>
      <c r="J126" s="27">
        <f>IF(D126&lt;=0,0,MIN(G126+N(H126),D126+F126))</f>
        <v/>
      </c>
      <c r="K126" s="25">
        <f>IF(J126&lt;=0,0,MAX(0,J126-F126))</f>
        <v/>
      </c>
      <c r="L126" s="27">
        <f>IF(D126&lt;=0,0,MAX(0,D126-K126))</f>
        <v/>
      </c>
      <c r="M126" s="28">
        <f>IF(OR(L126&lt;=0,G126&lt;=L126*E126/12),0,MAX(0,ROUNDUP(-LN(1-L126*(E126/12)/G126)/LN(1+E126/12),0)))</f>
        <v/>
      </c>
    </row>
    <row r="127" ht="18" customHeight="1">
      <c r="A127" s="13" t="n">
        <v>125</v>
      </c>
      <c r="B127" s="14">
        <f>IF(C127&lt;=Parametry!$C$6,DATE(Parametry!$C$12+INT((Parametry!$C$13+125-2)/12),MOD(Parametry!$C$13+125-2,12)+1,Parametry!$C$11),"")</f>
        <v/>
      </c>
      <c r="C127" s="15" t="n">
        <v>125</v>
      </c>
      <c r="D127" s="16">
        <f>IF(C127&lt;=Parametry!$C$6,L126,0)</f>
        <v/>
      </c>
      <c r="E127" s="17">
        <f>IF(OR(D127&lt;=0,C127&gt;Parametry!$C$6),0,IF(C127&lt;=Parametry!$C$9,Parametry!$C$8,Parametry!$C$10))</f>
        <v/>
      </c>
      <c r="F127" s="16">
        <f>IF(D127&lt;=0,0,D127*E127/12)</f>
        <v/>
      </c>
      <c r="G127" s="16">
        <f>IF(OR(D127&lt;=0,C127&gt;Parametry!$C$6),0,ROUND(-PMT(E127/12,MAX(1,Parametry!$C$6-C127+1),D127),2))</f>
        <v/>
      </c>
      <c r="H127" s="18" t="n"/>
      <c r="I127" s="19">
        <f>IF(OR(L127&lt;=0,C127&gt;=Parametry!$C$6),0,ROUND(-PMT(IF(C127+1&lt;=Parametry!$C$9,Parametry!$C$8,Parametry!$C$10)/12,MAX(1,Parametry!$C$6-C127),L127),2))</f>
        <v/>
      </c>
      <c r="J127" s="20">
        <f>IF(D127&lt;=0,0,MIN(G127+N(H127),D127+F127))</f>
        <v/>
      </c>
      <c r="K127" s="16">
        <f>IF(J127&lt;=0,0,MAX(0,J127-F127))</f>
        <v/>
      </c>
      <c r="L127" s="20">
        <f>IF(D127&lt;=0,0,MAX(0,D127-K127))</f>
        <v/>
      </c>
      <c r="M127" s="21">
        <f>IF(OR(L127&lt;=0,G127&lt;=L127*E127/12),0,MAX(0,ROUNDUP(-LN(1-L127*(E127/12)/G127)/LN(1+E127/12),0)))</f>
        <v/>
      </c>
    </row>
    <row r="128" ht="18" customHeight="1">
      <c r="A128" s="22" t="n">
        <v>126</v>
      </c>
      <c r="B128" s="23">
        <f>IF(C128&lt;=Parametry!$C$6,DATE(Parametry!$C$12+INT((Parametry!$C$13+126-2)/12),MOD(Parametry!$C$13+126-2,12)+1,Parametry!$C$11),"")</f>
        <v/>
      </c>
      <c r="C128" s="24" t="n">
        <v>126</v>
      </c>
      <c r="D128" s="25">
        <f>IF(C128&lt;=Parametry!$C$6,L127,0)</f>
        <v/>
      </c>
      <c r="E128" s="26">
        <f>IF(OR(D128&lt;=0,C128&gt;Parametry!$C$6),0,IF(C128&lt;=Parametry!$C$9,Parametry!$C$8,Parametry!$C$10))</f>
        <v/>
      </c>
      <c r="F128" s="25">
        <f>IF(D128&lt;=0,0,D128*E128/12)</f>
        <v/>
      </c>
      <c r="G128" s="25">
        <f>IF(OR(D128&lt;=0,C128&gt;Parametry!$C$6),0,ROUND(-PMT(E128/12,MAX(1,Parametry!$C$6-C128+1),D128),2))</f>
        <v/>
      </c>
      <c r="H128" s="18" t="n"/>
      <c r="I128" s="19">
        <f>IF(OR(L128&lt;=0,C128&gt;=Parametry!$C$6),0,ROUND(-PMT(IF(C128+1&lt;=Parametry!$C$9,Parametry!$C$8,Parametry!$C$10)/12,MAX(1,Parametry!$C$6-C128),L128),2))</f>
        <v/>
      </c>
      <c r="J128" s="27">
        <f>IF(D128&lt;=0,0,MIN(G128+N(H128),D128+F128))</f>
        <v/>
      </c>
      <c r="K128" s="25">
        <f>IF(J128&lt;=0,0,MAX(0,J128-F128))</f>
        <v/>
      </c>
      <c r="L128" s="27">
        <f>IF(D128&lt;=0,0,MAX(0,D128-K128))</f>
        <v/>
      </c>
      <c r="M128" s="28">
        <f>IF(OR(L128&lt;=0,G128&lt;=L128*E128/12),0,MAX(0,ROUNDUP(-LN(1-L128*(E128/12)/G128)/LN(1+E128/12),0)))</f>
        <v/>
      </c>
    </row>
    <row r="129" ht="18" customHeight="1">
      <c r="A129" s="13" t="n">
        <v>127</v>
      </c>
      <c r="B129" s="14">
        <f>IF(C129&lt;=Parametry!$C$6,DATE(Parametry!$C$12+INT((Parametry!$C$13+127-2)/12),MOD(Parametry!$C$13+127-2,12)+1,Parametry!$C$11),"")</f>
        <v/>
      </c>
      <c r="C129" s="15" t="n">
        <v>127</v>
      </c>
      <c r="D129" s="16">
        <f>IF(C129&lt;=Parametry!$C$6,L128,0)</f>
        <v/>
      </c>
      <c r="E129" s="17">
        <f>IF(OR(D129&lt;=0,C129&gt;Parametry!$C$6),0,IF(C129&lt;=Parametry!$C$9,Parametry!$C$8,Parametry!$C$10))</f>
        <v/>
      </c>
      <c r="F129" s="16">
        <f>IF(D129&lt;=0,0,D129*E129/12)</f>
        <v/>
      </c>
      <c r="G129" s="16">
        <f>IF(OR(D129&lt;=0,C129&gt;Parametry!$C$6),0,ROUND(-PMT(E129/12,MAX(1,Parametry!$C$6-C129+1),D129),2))</f>
        <v/>
      </c>
      <c r="H129" s="18" t="n"/>
      <c r="I129" s="19">
        <f>IF(OR(L129&lt;=0,C129&gt;=Parametry!$C$6),0,ROUND(-PMT(IF(C129+1&lt;=Parametry!$C$9,Parametry!$C$8,Parametry!$C$10)/12,MAX(1,Parametry!$C$6-C129),L129),2))</f>
        <v/>
      </c>
      <c r="J129" s="20">
        <f>IF(D129&lt;=0,0,MIN(G129+N(H129),D129+F129))</f>
        <v/>
      </c>
      <c r="K129" s="16">
        <f>IF(J129&lt;=0,0,MAX(0,J129-F129))</f>
        <v/>
      </c>
      <c r="L129" s="20">
        <f>IF(D129&lt;=0,0,MAX(0,D129-K129))</f>
        <v/>
      </c>
      <c r="M129" s="21">
        <f>IF(OR(L129&lt;=0,G129&lt;=L129*E129/12),0,MAX(0,ROUNDUP(-LN(1-L129*(E129/12)/G129)/LN(1+E129/12),0)))</f>
        <v/>
      </c>
    </row>
    <row r="130" ht="18" customHeight="1">
      <c r="A130" s="22" t="n">
        <v>128</v>
      </c>
      <c r="B130" s="23">
        <f>IF(C130&lt;=Parametry!$C$6,DATE(Parametry!$C$12+INT((Parametry!$C$13+128-2)/12),MOD(Parametry!$C$13+128-2,12)+1,Parametry!$C$11),"")</f>
        <v/>
      </c>
      <c r="C130" s="24" t="n">
        <v>128</v>
      </c>
      <c r="D130" s="25">
        <f>IF(C130&lt;=Parametry!$C$6,L129,0)</f>
        <v/>
      </c>
      <c r="E130" s="26">
        <f>IF(OR(D130&lt;=0,C130&gt;Parametry!$C$6),0,IF(C130&lt;=Parametry!$C$9,Parametry!$C$8,Parametry!$C$10))</f>
        <v/>
      </c>
      <c r="F130" s="25">
        <f>IF(D130&lt;=0,0,D130*E130/12)</f>
        <v/>
      </c>
      <c r="G130" s="25">
        <f>IF(OR(D130&lt;=0,C130&gt;Parametry!$C$6),0,ROUND(-PMT(E130/12,MAX(1,Parametry!$C$6-C130+1),D130),2))</f>
        <v/>
      </c>
      <c r="H130" s="18" t="n"/>
      <c r="I130" s="19">
        <f>IF(OR(L130&lt;=0,C130&gt;=Parametry!$C$6),0,ROUND(-PMT(IF(C130+1&lt;=Parametry!$C$9,Parametry!$C$8,Parametry!$C$10)/12,MAX(1,Parametry!$C$6-C130),L130),2))</f>
        <v/>
      </c>
      <c r="J130" s="27">
        <f>IF(D130&lt;=0,0,MIN(G130+N(H130),D130+F130))</f>
        <v/>
      </c>
      <c r="K130" s="25">
        <f>IF(J130&lt;=0,0,MAX(0,J130-F130))</f>
        <v/>
      </c>
      <c r="L130" s="27">
        <f>IF(D130&lt;=0,0,MAX(0,D130-K130))</f>
        <v/>
      </c>
      <c r="M130" s="28">
        <f>IF(OR(L130&lt;=0,G130&lt;=L130*E130/12),0,MAX(0,ROUNDUP(-LN(1-L130*(E130/12)/G130)/LN(1+E130/12),0)))</f>
        <v/>
      </c>
    </row>
    <row r="131" ht="18" customHeight="1">
      <c r="A131" s="13" t="n">
        <v>129</v>
      </c>
      <c r="B131" s="14">
        <f>IF(C131&lt;=Parametry!$C$6,DATE(Parametry!$C$12+INT((Parametry!$C$13+129-2)/12),MOD(Parametry!$C$13+129-2,12)+1,Parametry!$C$11),"")</f>
        <v/>
      </c>
      <c r="C131" s="15" t="n">
        <v>129</v>
      </c>
      <c r="D131" s="16">
        <f>IF(C131&lt;=Parametry!$C$6,L130,0)</f>
        <v/>
      </c>
      <c r="E131" s="17">
        <f>IF(OR(D131&lt;=0,C131&gt;Parametry!$C$6),0,IF(C131&lt;=Parametry!$C$9,Parametry!$C$8,Parametry!$C$10))</f>
        <v/>
      </c>
      <c r="F131" s="16">
        <f>IF(D131&lt;=0,0,D131*E131/12)</f>
        <v/>
      </c>
      <c r="G131" s="16">
        <f>IF(OR(D131&lt;=0,C131&gt;Parametry!$C$6),0,ROUND(-PMT(E131/12,MAX(1,Parametry!$C$6-C131+1),D131),2))</f>
        <v/>
      </c>
      <c r="H131" s="18" t="n"/>
      <c r="I131" s="19">
        <f>IF(OR(L131&lt;=0,C131&gt;=Parametry!$C$6),0,ROUND(-PMT(IF(C131+1&lt;=Parametry!$C$9,Parametry!$C$8,Parametry!$C$10)/12,MAX(1,Parametry!$C$6-C131),L131),2))</f>
        <v/>
      </c>
      <c r="J131" s="20">
        <f>IF(D131&lt;=0,0,MIN(G131+N(H131),D131+F131))</f>
        <v/>
      </c>
      <c r="K131" s="16">
        <f>IF(J131&lt;=0,0,MAX(0,J131-F131))</f>
        <v/>
      </c>
      <c r="L131" s="20">
        <f>IF(D131&lt;=0,0,MAX(0,D131-K131))</f>
        <v/>
      </c>
      <c r="M131" s="21">
        <f>IF(OR(L131&lt;=0,G131&lt;=L131*E131/12),0,MAX(0,ROUNDUP(-LN(1-L131*(E131/12)/G131)/LN(1+E131/12),0)))</f>
        <v/>
      </c>
    </row>
    <row r="132" ht="18" customHeight="1">
      <c r="A132" s="22" t="n">
        <v>130</v>
      </c>
      <c r="B132" s="23">
        <f>IF(C132&lt;=Parametry!$C$6,DATE(Parametry!$C$12+INT((Parametry!$C$13+130-2)/12),MOD(Parametry!$C$13+130-2,12)+1,Parametry!$C$11),"")</f>
        <v/>
      </c>
      <c r="C132" s="24" t="n">
        <v>130</v>
      </c>
      <c r="D132" s="25">
        <f>IF(C132&lt;=Parametry!$C$6,L131,0)</f>
        <v/>
      </c>
      <c r="E132" s="26">
        <f>IF(OR(D132&lt;=0,C132&gt;Parametry!$C$6),0,IF(C132&lt;=Parametry!$C$9,Parametry!$C$8,Parametry!$C$10))</f>
        <v/>
      </c>
      <c r="F132" s="25">
        <f>IF(D132&lt;=0,0,D132*E132/12)</f>
        <v/>
      </c>
      <c r="G132" s="25">
        <f>IF(OR(D132&lt;=0,C132&gt;Parametry!$C$6),0,ROUND(-PMT(E132/12,MAX(1,Parametry!$C$6-C132+1),D132),2))</f>
        <v/>
      </c>
      <c r="H132" s="18" t="n"/>
      <c r="I132" s="19">
        <f>IF(OR(L132&lt;=0,C132&gt;=Parametry!$C$6),0,ROUND(-PMT(IF(C132+1&lt;=Parametry!$C$9,Parametry!$C$8,Parametry!$C$10)/12,MAX(1,Parametry!$C$6-C132),L132),2))</f>
        <v/>
      </c>
      <c r="J132" s="27">
        <f>IF(D132&lt;=0,0,MIN(G132+N(H132),D132+F132))</f>
        <v/>
      </c>
      <c r="K132" s="25">
        <f>IF(J132&lt;=0,0,MAX(0,J132-F132))</f>
        <v/>
      </c>
      <c r="L132" s="27">
        <f>IF(D132&lt;=0,0,MAX(0,D132-K132))</f>
        <v/>
      </c>
      <c r="M132" s="28">
        <f>IF(OR(L132&lt;=0,G132&lt;=L132*E132/12),0,MAX(0,ROUNDUP(-LN(1-L132*(E132/12)/G132)/LN(1+E132/12),0)))</f>
        <v/>
      </c>
    </row>
    <row r="133" ht="18" customHeight="1">
      <c r="A133" s="13" t="n">
        <v>131</v>
      </c>
      <c r="B133" s="14">
        <f>IF(C133&lt;=Parametry!$C$6,DATE(Parametry!$C$12+INT((Parametry!$C$13+131-2)/12),MOD(Parametry!$C$13+131-2,12)+1,Parametry!$C$11),"")</f>
        <v/>
      </c>
      <c r="C133" s="15" t="n">
        <v>131</v>
      </c>
      <c r="D133" s="16">
        <f>IF(C133&lt;=Parametry!$C$6,L132,0)</f>
        <v/>
      </c>
      <c r="E133" s="17">
        <f>IF(OR(D133&lt;=0,C133&gt;Parametry!$C$6),0,IF(C133&lt;=Parametry!$C$9,Parametry!$C$8,Parametry!$C$10))</f>
        <v/>
      </c>
      <c r="F133" s="16">
        <f>IF(D133&lt;=0,0,D133*E133/12)</f>
        <v/>
      </c>
      <c r="G133" s="16">
        <f>IF(OR(D133&lt;=0,C133&gt;Parametry!$C$6),0,ROUND(-PMT(E133/12,MAX(1,Parametry!$C$6-C133+1),D133),2))</f>
        <v/>
      </c>
      <c r="H133" s="18" t="n"/>
      <c r="I133" s="19">
        <f>IF(OR(L133&lt;=0,C133&gt;=Parametry!$C$6),0,ROUND(-PMT(IF(C133+1&lt;=Parametry!$C$9,Parametry!$C$8,Parametry!$C$10)/12,MAX(1,Parametry!$C$6-C133),L133),2))</f>
        <v/>
      </c>
      <c r="J133" s="20">
        <f>IF(D133&lt;=0,0,MIN(G133+N(H133),D133+F133))</f>
        <v/>
      </c>
      <c r="K133" s="16">
        <f>IF(J133&lt;=0,0,MAX(0,J133-F133))</f>
        <v/>
      </c>
      <c r="L133" s="20">
        <f>IF(D133&lt;=0,0,MAX(0,D133-K133))</f>
        <v/>
      </c>
      <c r="M133" s="21">
        <f>IF(OR(L133&lt;=0,G133&lt;=L133*E133/12),0,MAX(0,ROUNDUP(-LN(1-L133*(E133/12)/G133)/LN(1+E133/12),0)))</f>
        <v/>
      </c>
    </row>
    <row r="134" ht="18" customHeight="1">
      <c r="A134" s="22" t="n">
        <v>132</v>
      </c>
      <c r="B134" s="23">
        <f>IF(C134&lt;=Parametry!$C$6,DATE(Parametry!$C$12+INT((Parametry!$C$13+132-2)/12),MOD(Parametry!$C$13+132-2,12)+1,Parametry!$C$11),"")</f>
        <v/>
      </c>
      <c r="C134" s="24" t="n">
        <v>132</v>
      </c>
      <c r="D134" s="25">
        <f>IF(C134&lt;=Parametry!$C$6,L133,0)</f>
        <v/>
      </c>
      <c r="E134" s="26">
        <f>IF(OR(D134&lt;=0,C134&gt;Parametry!$C$6),0,IF(C134&lt;=Parametry!$C$9,Parametry!$C$8,Parametry!$C$10))</f>
        <v/>
      </c>
      <c r="F134" s="25">
        <f>IF(D134&lt;=0,0,D134*E134/12)</f>
        <v/>
      </c>
      <c r="G134" s="25">
        <f>IF(OR(D134&lt;=0,C134&gt;Parametry!$C$6),0,ROUND(-PMT(E134/12,MAX(1,Parametry!$C$6-C134+1),D134),2))</f>
        <v/>
      </c>
      <c r="H134" s="18" t="n"/>
      <c r="I134" s="19">
        <f>IF(OR(L134&lt;=0,C134&gt;=Parametry!$C$6),0,ROUND(-PMT(IF(C134+1&lt;=Parametry!$C$9,Parametry!$C$8,Parametry!$C$10)/12,MAX(1,Parametry!$C$6-C134),L134),2))</f>
        <v/>
      </c>
      <c r="J134" s="27">
        <f>IF(D134&lt;=0,0,MIN(G134+N(H134),D134+F134))</f>
        <v/>
      </c>
      <c r="K134" s="25">
        <f>IF(J134&lt;=0,0,MAX(0,J134-F134))</f>
        <v/>
      </c>
      <c r="L134" s="27">
        <f>IF(D134&lt;=0,0,MAX(0,D134-K134))</f>
        <v/>
      </c>
      <c r="M134" s="28">
        <f>IF(OR(L134&lt;=0,G134&lt;=L134*E134/12),0,MAX(0,ROUNDUP(-LN(1-L134*(E134/12)/G134)/LN(1+E134/12),0)))</f>
        <v/>
      </c>
    </row>
    <row r="135" ht="18" customHeight="1">
      <c r="A135" s="13" t="n">
        <v>133</v>
      </c>
      <c r="B135" s="14">
        <f>IF(C135&lt;=Parametry!$C$6,DATE(Parametry!$C$12+INT((Parametry!$C$13+133-2)/12),MOD(Parametry!$C$13+133-2,12)+1,Parametry!$C$11),"")</f>
        <v/>
      </c>
      <c r="C135" s="15" t="n">
        <v>133</v>
      </c>
      <c r="D135" s="16">
        <f>IF(C135&lt;=Parametry!$C$6,L134,0)</f>
        <v/>
      </c>
      <c r="E135" s="17">
        <f>IF(OR(D135&lt;=0,C135&gt;Parametry!$C$6),0,IF(C135&lt;=Parametry!$C$9,Parametry!$C$8,Parametry!$C$10))</f>
        <v/>
      </c>
      <c r="F135" s="16">
        <f>IF(D135&lt;=0,0,D135*E135/12)</f>
        <v/>
      </c>
      <c r="G135" s="16">
        <f>IF(OR(D135&lt;=0,C135&gt;Parametry!$C$6),0,ROUND(-PMT(E135/12,MAX(1,Parametry!$C$6-C135+1),D135),2))</f>
        <v/>
      </c>
      <c r="H135" s="18" t="n"/>
      <c r="I135" s="19">
        <f>IF(OR(L135&lt;=0,C135&gt;=Parametry!$C$6),0,ROUND(-PMT(IF(C135+1&lt;=Parametry!$C$9,Parametry!$C$8,Parametry!$C$10)/12,MAX(1,Parametry!$C$6-C135),L135),2))</f>
        <v/>
      </c>
      <c r="J135" s="20">
        <f>IF(D135&lt;=0,0,MIN(G135+N(H135),D135+F135))</f>
        <v/>
      </c>
      <c r="K135" s="16">
        <f>IF(J135&lt;=0,0,MAX(0,J135-F135))</f>
        <v/>
      </c>
      <c r="L135" s="20">
        <f>IF(D135&lt;=0,0,MAX(0,D135-K135))</f>
        <v/>
      </c>
      <c r="M135" s="21">
        <f>IF(OR(L135&lt;=0,G135&lt;=L135*E135/12),0,MAX(0,ROUNDUP(-LN(1-L135*(E135/12)/G135)/LN(1+E135/12),0)))</f>
        <v/>
      </c>
    </row>
    <row r="136" ht="18" customHeight="1">
      <c r="A136" s="22" t="n">
        <v>134</v>
      </c>
      <c r="B136" s="23">
        <f>IF(C136&lt;=Parametry!$C$6,DATE(Parametry!$C$12+INT((Parametry!$C$13+134-2)/12),MOD(Parametry!$C$13+134-2,12)+1,Parametry!$C$11),"")</f>
        <v/>
      </c>
      <c r="C136" s="24" t="n">
        <v>134</v>
      </c>
      <c r="D136" s="25">
        <f>IF(C136&lt;=Parametry!$C$6,L135,0)</f>
        <v/>
      </c>
      <c r="E136" s="26">
        <f>IF(OR(D136&lt;=0,C136&gt;Parametry!$C$6),0,IF(C136&lt;=Parametry!$C$9,Parametry!$C$8,Parametry!$C$10))</f>
        <v/>
      </c>
      <c r="F136" s="25">
        <f>IF(D136&lt;=0,0,D136*E136/12)</f>
        <v/>
      </c>
      <c r="G136" s="25">
        <f>IF(OR(D136&lt;=0,C136&gt;Parametry!$C$6),0,ROUND(-PMT(E136/12,MAX(1,Parametry!$C$6-C136+1),D136),2))</f>
        <v/>
      </c>
      <c r="H136" s="18" t="n"/>
      <c r="I136" s="19">
        <f>IF(OR(L136&lt;=0,C136&gt;=Parametry!$C$6),0,ROUND(-PMT(IF(C136+1&lt;=Parametry!$C$9,Parametry!$C$8,Parametry!$C$10)/12,MAX(1,Parametry!$C$6-C136),L136),2))</f>
        <v/>
      </c>
      <c r="J136" s="27">
        <f>IF(D136&lt;=0,0,MIN(G136+N(H136),D136+F136))</f>
        <v/>
      </c>
      <c r="K136" s="25">
        <f>IF(J136&lt;=0,0,MAX(0,J136-F136))</f>
        <v/>
      </c>
      <c r="L136" s="27">
        <f>IF(D136&lt;=0,0,MAX(0,D136-K136))</f>
        <v/>
      </c>
      <c r="M136" s="28">
        <f>IF(OR(L136&lt;=0,G136&lt;=L136*E136/12),0,MAX(0,ROUNDUP(-LN(1-L136*(E136/12)/G136)/LN(1+E136/12),0)))</f>
        <v/>
      </c>
    </row>
    <row r="137" ht="18" customHeight="1">
      <c r="A137" s="13" t="n">
        <v>135</v>
      </c>
      <c r="B137" s="14">
        <f>IF(C137&lt;=Parametry!$C$6,DATE(Parametry!$C$12+INT((Parametry!$C$13+135-2)/12),MOD(Parametry!$C$13+135-2,12)+1,Parametry!$C$11),"")</f>
        <v/>
      </c>
      <c r="C137" s="15" t="n">
        <v>135</v>
      </c>
      <c r="D137" s="16">
        <f>IF(C137&lt;=Parametry!$C$6,L136,0)</f>
        <v/>
      </c>
      <c r="E137" s="17">
        <f>IF(OR(D137&lt;=0,C137&gt;Parametry!$C$6),0,IF(C137&lt;=Parametry!$C$9,Parametry!$C$8,Parametry!$C$10))</f>
        <v/>
      </c>
      <c r="F137" s="16">
        <f>IF(D137&lt;=0,0,D137*E137/12)</f>
        <v/>
      </c>
      <c r="G137" s="16">
        <f>IF(OR(D137&lt;=0,C137&gt;Parametry!$C$6),0,ROUND(-PMT(E137/12,MAX(1,Parametry!$C$6-C137+1),D137),2))</f>
        <v/>
      </c>
      <c r="H137" s="18" t="n"/>
      <c r="I137" s="19">
        <f>IF(OR(L137&lt;=0,C137&gt;=Parametry!$C$6),0,ROUND(-PMT(IF(C137+1&lt;=Parametry!$C$9,Parametry!$C$8,Parametry!$C$10)/12,MAX(1,Parametry!$C$6-C137),L137),2))</f>
        <v/>
      </c>
      <c r="J137" s="20">
        <f>IF(D137&lt;=0,0,MIN(G137+N(H137),D137+F137))</f>
        <v/>
      </c>
      <c r="K137" s="16">
        <f>IF(J137&lt;=0,0,MAX(0,J137-F137))</f>
        <v/>
      </c>
      <c r="L137" s="20">
        <f>IF(D137&lt;=0,0,MAX(0,D137-K137))</f>
        <v/>
      </c>
      <c r="M137" s="21">
        <f>IF(OR(L137&lt;=0,G137&lt;=L137*E137/12),0,MAX(0,ROUNDUP(-LN(1-L137*(E137/12)/G137)/LN(1+E137/12),0)))</f>
        <v/>
      </c>
    </row>
    <row r="138" ht="18" customHeight="1">
      <c r="A138" s="22" t="n">
        <v>136</v>
      </c>
      <c r="B138" s="23">
        <f>IF(C138&lt;=Parametry!$C$6,DATE(Parametry!$C$12+INT((Parametry!$C$13+136-2)/12),MOD(Parametry!$C$13+136-2,12)+1,Parametry!$C$11),"")</f>
        <v/>
      </c>
      <c r="C138" s="24" t="n">
        <v>136</v>
      </c>
      <c r="D138" s="25">
        <f>IF(C138&lt;=Parametry!$C$6,L137,0)</f>
        <v/>
      </c>
      <c r="E138" s="26">
        <f>IF(OR(D138&lt;=0,C138&gt;Parametry!$C$6),0,IF(C138&lt;=Parametry!$C$9,Parametry!$C$8,Parametry!$C$10))</f>
        <v/>
      </c>
      <c r="F138" s="25">
        <f>IF(D138&lt;=0,0,D138*E138/12)</f>
        <v/>
      </c>
      <c r="G138" s="25">
        <f>IF(OR(D138&lt;=0,C138&gt;Parametry!$C$6),0,ROUND(-PMT(E138/12,MAX(1,Parametry!$C$6-C138+1),D138),2))</f>
        <v/>
      </c>
      <c r="H138" s="18" t="n"/>
      <c r="I138" s="19">
        <f>IF(OR(L138&lt;=0,C138&gt;=Parametry!$C$6),0,ROUND(-PMT(IF(C138+1&lt;=Parametry!$C$9,Parametry!$C$8,Parametry!$C$10)/12,MAX(1,Parametry!$C$6-C138),L138),2))</f>
        <v/>
      </c>
      <c r="J138" s="27">
        <f>IF(D138&lt;=0,0,MIN(G138+N(H138),D138+F138))</f>
        <v/>
      </c>
      <c r="K138" s="25">
        <f>IF(J138&lt;=0,0,MAX(0,J138-F138))</f>
        <v/>
      </c>
      <c r="L138" s="27">
        <f>IF(D138&lt;=0,0,MAX(0,D138-K138))</f>
        <v/>
      </c>
      <c r="M138" s="28">
        <f>IF(OR(L138&lt;=0,G138&lt;=L138*E138/12),0,MAX(0,ROUNDUP(-LN(1-L138*(E138/12)/G138)/LN(1+E138/12),0)))</f>
        <v/>
      </c>
    </row>
    <row r="139" ht="18" customHeight="1">
      <c r="A139" s="13" t="n">
        <v>137</v>
      </c>
      <c r="B139" s="14">
        <f>IF(C139&lt;=Parametry!$C$6,DATE(Parametry!$C$12+INT((Parametry!$C$13+137-2)/12),MOD(Parametry!$C$13+137-2,12)+1,Parametry!$C$11),"")</f>
        <v/>
      </c>
      <c r="C139" s="15" t="n">
        <v>137</v>
      </c>
      <c r="D139" s="16">
        <f>IF(C139&lt;=Parametry!$C$6,L138,0)</f>
        <v/>
      </c>
      <c r="E139" s="17">
        <f>IF(OR(D139&lt;=0,C139&gt;Parametry!$C$6),0,IF(C139&lt;=Parametry!$C$9,Parametry!$C$8,Parametry!$C$10))</f>
        <v/>
      </c>
      <c r="F139" s="16">
        <f>IF(D139&lt;=0,0,D139*E139/12)</f>
        <v/>
      </c>
      <c r="G139" s="16">
        <f>IF(OR(D139&lt;=0,C139&gt;Parametry!$C$6),0,ROUND(-PMT(E139/12,MAX(1,Parametry!$C$6-C139+1),D139),2))</f>
        <v/>
      </c>
      <c r="H139" s="18" t="n"/>
      <c r="I139" s="19">
        <f>IF(OR(L139&lt;=0,C139&gt;=Parametry!$C$6),0,ROUND(-PMT(IF(C139+1&lt;=Parametry!$C$9,Parametry!$C$8,Parametry!$C$10)/12,MAX(1,Parametry!$C$6-C139),L139),2))</f>
        <v/>
      </c>
      <c r="J139" s="20">
        <f>IF(D139&lt;=0,0,MIN(G139+N(H139),D139+F139))</f>
        <v/>
      </c>
      <c r="K139" s="16">
        <f>IF(J139&lt;=0,0,MAX(0,J139-F139))</f>
        <v/>
      </c>
      <c r="L139" s="20">
        <f>IF(D139&lt;=0,0,MAX(0,D139-K139))</f>
        <v/>
      </c>
      <c r="M139" s="21">
        <f>IF(OR(L139&lt;=0,G139&lt;=L139*E139/12),0,MAX(0,ROUNDUP(-LN(1-L139*(E139/12)/G139)/LN(1+E139/12),0)))</f>
        <v/>
      </c>
    </row>
    <row r="140" ht="18" customHeight="1">
      <c r="A140" s="22" t="n">
        <v>138</v>
      </c>
      <c r="B140" s="23">
        <f>IF(C140&lt;=Parametry!$C$6,DATE(Parametry!$C$12+INT((Parametry!$C$13+138-2)/12),MOD(Parametry!$C$13+138-2,12)+1,Parametry!$C$11),"")</f>
        <v/>
      </c>
      <c r="C140" s="24" t="n">
        <v>138</v>
      </c>
      <c r="D140" s="25">
        <f>IF(C140&lt;=Parametry!$C$6,L139,0)</f>
        <v/>
      </c>
      <c r="E140" s="26">
        <f>IF(OR(D140&lt;=0,C140&gt;Parametry!$C$6),0,IF(C140&lt;=Parametry!$C$9,Parametry!$C$8,Parametry!$C$10))</f>
        <v/>
      </c>
      <c r="F140" s="25">
        <f>IF(D140&lt;=0,0,D140*E140/12)</f>
        <v/>
      </c>
      <c r="G140" s="25">
        <f>IF(OR(D140&lt;=0,C140&gt;Parametry!$C$6),0,ROUND(-PMT(E140/12,MAX(1,Parametry!$C$6-C140+1),D140),2))</f>
        <v/>
      </c>
      <c r="H140" s="18" t="n"/>
      <c r="I140" s="19">
        <f>IF(OR(L140&lt;=0,C140&gt;=Parametry!$C$6),0,ROUND(-PMT(IF(C140+1&lt;=Parametry!$C$9,Parametry!$C$8,Parametry!$C$10)/12,MAX(1,Parametry!$C$6-C140),L140),2))</f>
        <v/>
      </c>
      <c r="J140" s="27">
        <f>IF(D140&lt;=0,0,MIN(G140+N(H140),D140+F140))</f>
        <v/>
      </c>
      <c r="K140" s="25">
        <f>IF(J140&lt;=0,0,MAX(0,J140-F140))</f>
        <v/>
      </c>
      <c r="L140" s="27">
        <f>IF(D140&lt;=0,0,MAX(0,D140-K140))</f>
        <v/>
      </c>
      <c r="M140" s="28">
        <f>IF(OR(L140&lt;=0,G140&lt;=L140*E140/12),0,MAX(0,ROUNDUP(-LN(1-L140*(E140/12)/G140)/LN(1+E140/12),0)))</f>
        <v/>
      </c>
    </row>
    <row r="141" ht="18" customHeight="1">
      <c r="A141" s="13" t="n">
        <v>139</v>
      </c>
      <c r="B141" s="14">
        <f>IF(C141&lt;=Parametry!$C$6,DATE(Parametry!$C$12+INT((Parametry!$C$13+139-2)/12),MOD(Parametry!$C$13+139-2,12)+1,Parametry!$C$11),"")</f>
        <v/>
      </c>
      <c r="C141" s="15" t="n">
        <v>139</v>
      </c>
      <c r="D141" s="16">
        <f>IF(C141&lt;=Parametry!$C$6,L140,0)</f>
        <v/>
      </c>
      <c r="E141" s="17">
        <f>IF(OR(D141&lt;=0,C141&gt;Parametry!$C$6),0,IF(C141&lt;=Parametry!$C$9,Parametry!$C$8,Parametry!$C$10))</f>
        <v/>
      </c>
      <c r="F141" s="16">
        <f>IF(D141&lt;=0,0,D141*E141/12)</f>
        <v/>
      </c>
      <c r="G141" s="16">
        <f>IF(OR(D141&lt;=0,C141&gt;Parametry!$C$6),0,ROUND(-PMT(E141/12,MAX(1,Parametry!$C$6-C141+1),D141),2))</f>
        <v/>
      </c>
      <c r="H141" s="18" t="n"/>
      <c r="I141" s="19">
        <f>IF(OR(L141&lt;=0,C141&gt;=Parametry!$C$6),0,ROUND(-PMT(IF(C141+1&lt;=Parametry!$C$9,Parametry!$C$8,Parametry!$C$10)/12,MAX(1,Parametry!$C$6-C141),L141),2))</f>
        <v/>
      </c>
      <c r="J141" s="20">
        <f>IF(D141&lt;=0,0,MIN(G141+N(H141),D141+F141))</f>
        <v/>
      </c>
      <c r="K141" s="16">
        <f>IF(J141&lt;=0,0,MAX(0,J141-F141))</f>
        <v/>
      </c>
      <c r="L141" s="20">
        <f>IF(D141&lt;=0,0,MAX(0,D141-K141))</f>
        <v/>
      </c>
      <c r="M141" s="21">
        <f>IF(OR(L141&lt;=0,G141&lt;=L141*E141/12),0,MAX(0,ROUNDUP(-LN(1-L141*(E141/12)/G141)/LN(1+E141/12),0)))</f>
        <v/>
      </c>
    </row>
    <row r="142" ht="18" customHeight="1">
      <c r="A142" s="22" t="n">
        <v>140</v>
      </c>
      <c r="B142" s="23">
        <f>IF(C142&lt;=Parametry!$C$6,DATE(Parametry!$C$12+INT((Parametry!$C$13+140-2)/12),MOD(Parametry!$C$13+140-2,12)+1,Parametry!$C$11),"")</f>
        <v/>
      </c>
      <c r="C142" s="24" t="n">
        <v>140</v>
      </c>
      <c r="D142" s="25">
        <f>IF(C142&lt;=Parametry!$C$6,L141,0)</f>
        <v/>
      </c>
      <c r="E142" s="26">
        <f>IF(OR(D142&lt;=0,C142&gt;Parametry!$C$6),0,IF(C142&lt;=Parametry!$C$9,Parametry!$C$8,Parametry!$C$10))</f>
        <v/>
      </c>
      <c r="F142" s="25">
        <f>IF(D142&lt;=0,0,D142*E142/12)</f>
        <v/>
      </c>
      <c r="G142" s="25">
        <f>IF(OR(D142&lt;=0,C142&gt;Parametry!$C$6),0,ROUND(-PMT(E142/12,MAX(1,Parametry!$C$6-C142+1),D142),2))</f>
        <v/>
      </c>
      <c r="H142" s="18" t="n"/>
      <c r="I142" s="19">
        <f>IF(OR(L142&lt;=0,C142&gt;=Parametry!$C$6),0,ROUND(-PMT(IF(C142+1&lt;=Parametry!$C$9,Parametry!$C$8,Parametry!$C$10)/12,MAX(1,Parametry!$C$6-C142),L142),2))</f>
        <v/>
      </c>
      <c r="J142" s="27">
        <f>IF(D142&lt;=0,0,MIN(G142+N(H142),D142+F142))</f>
        <v/>
      </c>
      <c r="K142" s="25">
        <f>IF(J142&lt;=0,0,MAX(0,J142-F142))</f>
        <v/>
      </c>
      <c r="L142" s="27">
        <f>IF(D142&lt;=0,0,MAX(0,D142-K142))</f>
        <v/>
      </c>
      <c r="M142" s="28">
        <f>IF(OR(L142&lt;=0,G142&lt;=L142*E142/12),0,MAX(0,ROUNDUP(-LN(1-L142*(E142/12)/G142)/LN(1+E142/12),0)))</f>
        <v/>
      </c>
    </row>
    <row r="143" ht="18" customHeight="1">
      <c r="A143" s="13" t="n">
        <v>141</v>
      </c>
      <c r="B143" s="14">
        <f>IF(C143&lt;=Parametry!$C$6,DATE(Parametry!$C$12+INT((Parametry!$C$13+141-2)/12),MOD(Parametry!$C$13+141-2,12)+1,Parametry!$C$11),"")</f>
        <v/>
      </c>
      <c r="C143" s="15" t="n">
        <v>141</v>
      </c>
      <c r="D143" s="16">
        <f>IF(C143&lt;=Parametry!$C$6,L142,0)</f>
        <v/>
      </c>
      <c r="E143" s="17">
        <f>IF(OR(D143&lt;=0,C143&gt;Parametry!$C$6),0,IF(C143&lt;=Parametry!$C$9,Parametry!$C$8,Parametry!$C$10))</f>
        <v/>
      </c>
      <c r="F143" s="16">
        <f>IF(D143&lt;=0,0,D143*E143/12)</f>
        <v/>
      </c>
      <c r="G143" s="16">
        <f>IF(OR(D143&lt;=0,C143&gt;Parametry!$C$6),0,ROUND(-PMT(E143/12,MAX(1,Parametry!$C$6-C143+1),D143),2))</f>
        <v/>
      </c>
      <c r="H143" s="18" t="n"/>
      <c r="I143" s="19">
        <f>IF(OR(L143&lt;=0,C143&gt;=Parametry!$C$6),0,ROUND(-PMT(IF(C143+1&lt;=Parametry!$C$9,Parametry!$C$8,Parametry!$C$10)/12,MAX(1,Parametry!$C$6-C143),L143),2))</f>
        <v/>
      </c>
      <c r="J143" s="20">
        <f>IF(D143&lt;=0,0,MIN(G143+N(H143),D143+F143))</f>
        <v/>
      </c>
      <c r="K143" s="16">
        <f>IF(J143&lt;=0,0,MAX(0,J143-F143))</f>
        <v/>
      </c>
      <c r="L143" s="20">
        <f>IF(D143&lt;=0,0,MAX(0,D143-K143))</f>
        <v/>
      </c>
      <c r="M143" s="21">
        <f>IF(OR(L143&lt;=0,G143&lt;=L143*E143/12),0,MAX(0,ROUNDUP(-LN(1-L143*(E143/12)/G143)/LN(1+E143/12),0)))</f>
        <v/>
      </c>
    </row>
    <row r="144" ht="18" customHeight="1">
      <c r="A144" s="22" t="n">
        <v>142</v>
      </c>
      <c r="B144" s="23">
        <f>IF(C144&lt;=Parametry!$C$6,DATE(Parametry!$C$12+INT((Parametry!$C$13+142-2)/12),MOD(Parametry!$C$13+142-2,12)+1,Parametry!$C$11),"")</f>
        <v/>
      </c>
      <c r="C144" s="24" t="n">
        <v>142</v>
      </c>
      <c r="D144" s="25">
        <f>IF(C144&lt;=Parametry!$C$6,L143,0)</f>
        <v/>
      </c>
      <c r="E144" s="26">
        <f>IF(OR(D144&lt;=0,C144&gt;Parametry!$C$6),0,IF(C144&lt;=Parametry!$C$9,Parametry!$C$8,Parametry!$C$10))</f>
        <v/>
      </c>
      <c r="F144" s="25">
        <f>IF(D144&lt;=0,0,D144*E144/12)</f>
        <v/>
      </c>
      <c r="G144" s="25">
        <f>IF(OR(D144&lt;=0,C144&gt;Parametry!$C$6),0,ROUND(-PMT(E144/12,MAX(1,Parametry!$C$6-C144+1),D144),2))</f>
        <v/>
      </c>
      <c r="H144" s="18" t="n"/>
      <c r="I144" s="19">
        <f>IF(OR(L144&lt;=0,C144&gt;=Parametry!$C$6),0,ROUND(-PMT(IF(C144+1&lt;=Parametry!$C$9,Parametry!$C$8,Parametry!$C$10)/12,MAX(1,Parametry!$C$6-C144),L144),2))</f>
        <v/>
      </c>
      <c r="J144" s="27">
        <f>IF(D144&lt;=0,0,MIN(G144+N(H144),D144+F144))</f>
        <v/>
      </c>
      <c r="K144" s="25">
        <f>IF(J144&lt;=0,0,MAX(0,J144-F144))</f>
        <v/>
      </c>
      <c r="L144" s="27">
        <f>IF(D144&lt;=0,0,MAX(0,D144-K144))</f>
        <v/>
      </c>
      <c r="M144" s="28">
        <f>IF(OR(L144&lt;=0,G144&lt;=L144*E144/12),0,MAX(0,ROUNDUP(-LN(1-L144*(E144/12)/G144)/LN(1+E144/12),0)))</f>
        <v/>
      </c>
    </row>
    <row r="145" ht="18" customHeight="1">
      <c r="A145" s="13" t="n">
        <v>143</v>
      </c>
      <c r="B145" s="14">
        <f>IF(C145&lt;=Parametry!$C$6,DATE(Parametry!$C$12+INT((Parametry!$C$13+143-2)/12),MOD(Parametry!$C$13+143-2,12)+1,Parametry!$C$11),"")</f>
        <v/>
      </c>
      <c r="C145" s="15" t="n">
        <v>143</v>
      </c>
      <c r="D145" s="16">
        <f>IF(C145&lt;=Parametry!$C$6,L144,0)</f>
        <v/>
      </c>
      <c r="E145" s="17">
        <f>IF(OR(D145&lt;=0,C145&gt;Parametry!$C$6),0,IF(C145&lt;=Parametry!$C$9,Parametry!$C$8,Parametry!$C$10))</f>
        <v/>
      </c>
      <c r="F145" s="16">
        <f>IF(D145&lt;=0,0,D145*E145/12)</f>
        <v/>
      </c>
      <c r="G145" s="16">
        <f>IF(OR(D145&lt;=0,C145&gt;Parametry!$C$6),0,ROUND(-PMT(E145/12,MAX(1,Parametry!$C$6-C145+1),D145),2))</f>
        <v/>
      </c>
      <c r="H145" s="18" t="n"/>
      <c r="I145" s="19">
        <f>IF(OR(L145&lt;=0,C145&gt;=Parametry!$C$6),0,ROUND(-PMT(IF(C145+1&lt;=Parametry!$C$9,Parametry!$C$8,Parametry!$C$10)/12,MAX(1,Parametry!$C$6-C145),L145),2))</f>
        <v/>
      </c>
      <c r="J145" s="20">
        <f>IF(D145&lt;=0,0,MIN(G145+N(H145),D145+F145))</f>
        <v/>
      </c>
      <c r="K145" s="16">
        <f>IF(J145&lt;=0,0,MAX(0,J145-F145))</f>
        <v/>
      </c>
      <c r="L145" s="20">
        <f>IF(D145&lt;=0,0,MAX(0,D145-K145))</f>
        <v/>
      </c>
      <c r="M145" s="21">
        <f>IF(OR(L145&lt;=0,G145&lt;=L145*E145/12),0,MAX(0,ROUNDUP(-LN(1-L145*(E145/12)/G145)/LN(1+E145/12),0)))</f>
        <v/>
      </c>
    </row>
    <row r="146" ht="18" customHeight="1">
      <c r="A146" s="22" t="n">
        <v>144</v>
      </c>
      <c r="B146" s="23">
        <f>IF(C146&lt;=Parametry!$C$6,DATE(Parametry!$C$12+INT((Parametry!$C$13+144-2)/12),MOD(Parametry!$C$13+144-2,12)+1,Parametry!$C$11),"")</f>
        <v/>
      </c>
      <c r="C146" s="24" t="n">
        <v>144</v>
      </c>
      <c r="D146" s="25">
        <f>IF(C146&lt;=Parametry!$C$6,L145,0)</f>
        <v/>
      </c>
      <c r="E146" s="26">
        <f>IF(OR(D146&lt;=0,C146&gt;Parametry!$C$6),0,IF(C146&lt;=Parametry!$C$9,Parametry!$C$8,Parametry!$C$10))</f>
        <v/>
      </c>
      <c r="F146" s="25">
        <f>IF(D146&lt;=0,0,D146*E146/12)</f>
        <v/>
      </c>
      <c r="G146" s="25">
        <f>IF(OR(D146&lt;=0,C146&gt;Parametry!$C$6),0,ROUND(-PMT(E146/12,MAX(1,Parametry!$C$6-C146+1),D146),2))</f>
        <v/>
      </c>
      <c r="H146" s="18" t="n"/>
      <c r="I146" s="19">
        <f>IF(OR(L146&lt;=0,C146&gt;=Parametry!$C$6),0,ROUND(-PMT(IF(C146+1&lt;=Parametry!$C$9,Parametry!$C$8,Parametry!$C$10)/12,MAX(1,Parametry!$C$6-C146),L146),2))</f>
        <v/>
      </c>
      <c r="J146" s="27">
        <f>IF(D146&lt;=0,0,MIN(G146+N(H146),D146+F146))</f>
        <v/>
      </c>
      <c r="K146" s="25">
        <f>IF(J146&lt;=0,0,MAX(0,J146-F146))</f>
        <v/>
      </c>
      <c r="L146" s="27">
        <f>IF(D146&lt;=0,0,MAX(0,D146-K146))</f>
        <v/>
      </c>
      <c r="M146" s="28">
        <f>IF(OR(L146&lt;=0,G146&lt;=L146*E146/12),0,MAX(0,ROUNDUP(-LN(1-L146*(E146/12)/G146)/LN(1+E146/12),0)))</f>
        <v/>
      </c>
    </row>
    <row r="147" ht="18" customHeight="1">
      <c r="A147" s="13" t="n">
        <v>145</v>
      </c>
      <c r="B147" s="14">
        <f>IF(C147&lt;=Parametry!$C$6,DATE(Parametry!$C$12+INT((Parametry!$C$13+145-2)/12),MOD(Parametry!$C$13+145-2,12)+1,Parametry!$C$11),"")</f>
        <v/>
      </c>
      <c r="C147" s="15" t="n">
        <v>145</v>
      </c>
      <c r="D147" s="16">
        <f>IF(C147&lt;=Parametry!$C$6,L146,0)</f>
        <v/>
      </c>
      <c r="E147" s="17">
        <f>IF(OR(D147&lt;=0,C147&gt;Parametry!$C$6),0,IF(C147&lt;=Parametry!$C$9,Parametry!$C$8,Parametry!$C$10))</f>
        <v/>
      </c>
      <c r="F147" s="16">
        <f>IF(D147&lt;=0,0,D147*E147/12)</f>
        <v/>
      </c>
      <c r="G147" s="16">
        <f>IF(OR(D147&lt;=0,C147&gt;Parametry!$C$6),0,ROUND(-PMT(E147/12,MAX(1,Parametry!$C$6-C147+1),D147),2))</f>
        <v/>
      </c>
      <c r="H147" s="18" t="n"/>
      <c r="I147" s="19">
        <f>IF(OR(L147&lt;=0,C147&gt;=Parametry!$C$6),0,ROUND(-PMT(IF(C147+1&lt;=Parametry!$C$9,Parametry!$C$8,Parametry!$C$10)/12,MAX(1,Parametry!$C$6-C147),L147),2))</f>
        <v/>
      </c>
      <c r="J147" s="20">
        <f>IF(D147&lt;=0,0,MIN(G147+N(H147),D147+F147))</f>
        <v/>
      </c>
      <c r="K147" s="16">
        <f>IF(J147&lt;=0,0,MAX(0,J147-F147))</f>
        <v/>
      </c>
      <c r="L147" s="20">
        <f>IF(D147&lt;=0,0,MAX(0,D147-K147))</f>
        <v/>
      </c>
      <c r="M147" s="21">
        <f>IF(OR(L147&lt;=0,G147&lt;=L147*E147/12),0,MAX(0,ROUNDUP(-LN(1-L147*(E147/12)/G147)/LN(1+E147/12),0)))</f>
        <v/>
      </c>
    </row>
    <row r="148" ht="18" customHeight="1">
      <c r="A148" s="22" t="n">
        <v>146</v>
      </c>
      <c r="B148" s="23">
        <f>IF(C148&lt;=Parametry!$C$6,DATE(Parametry!$C$12+INT((Parametry!$C$13+146-2)/12),MOD(Parametry!$C$13+146-2,12)+1,Parametry!$C$11),"")</f>
        <v/>
      </c>
      <c r="C148" s="24" t="n">
        <v>146</v>
      </c>
      <c r="D148" s="25">
        <f>IF(C148&lt;=Parametry!$C$6,L147,0)</f>
        <v/>
      </c>
      <c r="E148" s="26">
        <f>IF(OR(D148&lt;=0,C148&gt;Parametry!$C$6),0,IF(C148&lt;=Parametry!$C$9,Parametry!$C$8,Parametry!$C$10))</f>
        <v/>
      </c>
      <c r="F148" s="25">
        <f>IF(D148&lt;=0,0,D148*E148/12)</f>
        <v/>
      </c>
      <c r="G148" s="25">
        <f>IF(OR(D148&lt;=0,C148&gt;Parametry!$C$6),0,ROUND(-PMT(E148/12,MAX(1,Parametry!$C$6-C148+1),D148),2))</f>
        <v/>
      </c>
      <c r="H148" s="18" t="n"/>
      <c r="I148" s="19">
        <f>IF(OR(L148&lt;=0,C148&gt;=Parametry!$C$6),0,ROUND(-PMT(IF(C148+1&lt;=Parametry!$C$9,Parametry!$C$8,Parametry!$C$10)/12,MAX(1,Parametry!$C$6-C148),L148),2))</f>
        <v/>
      </c>
      <c r="J148" s="27">
        <f>IF(D148&lt;=0,0,MIN(G148+N(H148),D148+F148))</f>
        <v/>
      </c>
      <c r="K148" s="25">
        <f>IF(J148&lt;=0,0,MAX(0,J148-F148))</f>
        <v/>
      </c>
      <c r="L148" s="27">
        <f>IF(D148&lt;=0,0,MAX(0,D148-K148))</f>
        <v/>
      </c>
      <c r="M148" s="28">
        <f>IF(OR(L148&lt;=0,G148&lt;=L148*E148/12),0,MAX(0,ROUNDUP(-LN(1-L148*(E148/12)/G148)/LN(1+E148/12),0)))</f>
        <v/>
      </c>
    </row>
    <row r="149" ht="18" customHeight="1">
      <c r="A149" s="13" t="n">
        <v>147</v>
      </c>
      <c r="B149" s="14">
        <f>IF(C149&lt;=Parametry!$C$6,DATE(Parametry!$C$12+INT((Parametry!$C$13+147-2)/12),MOD(Parametry!$C$13+147-2,12)+1,Parametry!$C$11),"")</f>
        <v/>
      </c>
      <c r="C149" s="15" t="n">
        <v>147</v>
      </c>
      <c r="D149" s="16">
        <f>IF(C149&lt;=Parametry!$C$6,L148,0)</f>
        <v/>
      </c>
      <c r="E149" s="17">
        <f>IF(OR(D149&lt;=0,C149&gt;Parametry!$C$6),0,IF(C149&lt;=Parametry!$C$9,Parametry!$C$8,Parametry!$C$10))</f>
        <v/>
      </c>
      <c r="F149" s="16">
        <f>IF(D149&lt;=0,0,D149*E149/12)</f>
        <v/>
      </c>
      <c r="G149" s="16">
        <f>IF(OR(D149&lt;=0,C149&gt;Parametry!$C$6),0,ROUND(-PMT(E149/12,MAX(1,Parametry!$C$6-C149+1),D149),2))</f>
        <v/>
      </c>
      <c r="H149" s="18" t="n"/>
      <c r="I149" s="19">
        <f>IF(OR(L149&lt;=0,C149&gt;=Parametry!$C$6),0,ROUND(-PMT(IF(C149+1&lt;=Parametry!$C$9,Parametry!$C$8,Parametry!$C$10)/12,MAX(1,Parametry!$C$6-C149),L149),2))</f>
        <v/>
      </c>
      <c r="J149" s="20">
        <f>IF(D149&lt;=0,0,MIN(G149+N(H149),D149+F149))</f>
        <v/>
      </c>
      <c r="K149" s="16">
        <f>IF(J149&lt;=0,0,MAX(0,J149-F149))</f>
        <v/>
      </c>
      <c r="L149" s="20">
        <f>IF(D149&lt;=0,0,MAX(0,D149-K149))</f>
        <v/>
      </c>
      <c r="M149" s="21">
        <f>IF(OR(L149&lt;=0,G149&lt;=L149*E149/12),0,MAX(0,ROUNDUP(-LN(1-L149*(E149/12)/G149)/LN(1+E149/12),0)))</f>
        <v/>
      </c>
    </row>
    <row r="150" ht="18" customHeight="1">
      <c r="A150" s="22" t="n">
        <v>148</v>
      </c>
      <c r="B150" s="23">
        <f>IF(C150&lt;=Parametry!$C$6,DATE(Parametry!$C$12+INT((Parametry!$C$13+148-2)/12),MOD(Parametry!$C$13+148-2,12)+1,Parametry!$C$11),"")</f>
        <v/>
      </c>
      <c r="C150" s="24" t="n">
        <v>148</v>
      </c>
      <c r="D150" s="25">
        <f>IF(C150&lt;=Parametry!$C$6,L149,0)</f>
        <v/>
      </c>
      <c r="E150" s="26">
        <f>IF(OR(D150&lt;=0,C150&gt;Parametry!$C$6),0,IF(C150&lt;=Parametry!$C$9,Parametry!$C$8,Parametry!$C$10))</f>
        <v/>
      </c>
      <c r="F150" s="25">
        <f>IF(D150&lt;=0,0,D150*E150/12)</f>
        <v/>
      </c>
      <c r="G150" s="25">
        <f>IF(OR(D150&lt;=0,C150&gt;Parametry!$C$6),0,ROUND(-PMT(E150/12,MAX(1,Parametry!$C$6-C150+1),D150),2))</f>
        <v/>
      </c>
      <c r="H150" s="18" t="n"/>
      <c r="I150" s="19">
        <f>IF(OR(L150&lt;=0,C150&gt;=Parametry!$C$6),0,ROUND(-PMT(IF(C150+1&lt;=Parametry!$C$9,Parametry!$C$8,Parametry!$C$10)/12,MAX(1,Parametry!$C$6-C150),L150),2))</f>
        <v/>
      </c>
      <c r="J150" s="27">
        <f>IF(D150&lt;=0,0,MIN(G150+N(H150),D150+F150))</f>
        <v/>
      </c>
      <c r="K150" s="25">
        <f>IF(J150&lt;=0,0,MAX(0,J150-F150))</f>
        <v/>
      </c>
      <c r="L150" s="27">
        <f>IF(D150&lt;=0,0,MAX(0,D150-K150))</f>
        <v/>
      </c>
      <c r="M150" s="28">
        <f>IF(OR(L150&lt;=0,G150&lt;=L150*E150/12),0,MAX(0,ROUNDUP(-LN(1-L150*(E150/12)/G150)/LN(1+E150/12),0)))</f>
        <v/>
      </c>
    </row>
    <row r="151" ht="18" customHeight="1">
      <c r="A151" s="13" t="n">
        <v>149</v>
      </c>
      <c r="B151" s="14">
        <f>IF(C151&lt;=Parametry!$C$6,DATE(Parametry!$C$12+INT((Parametry!$C$13+149-2)/12),MOD(Parametry!$C$13+149-2,12)+1,Parametry!$C$11),"")</f>
        <v/>
      </c>
      <c r="C151" s="15" t="n">
        <v>149</v>
      </c>
      <c r="D151" s="16">
        <f>IF(C151&lt;=Parametry!$C$6,L150,0)</f>
        <v/>
      </c>
      <c r="E151" s="17">
        <f>IF(OR(D151&lt;=0,C151&gt;Parametry!$C$6),0,IF(C151&lt;=Parametry!$C$9,Parametry!$C$8,Parametry!$C$10))</f>
        <v/>
      </c>
      <c r="F151" s="16">
        <f>IF(D151&lt;=0,0,D151*E151/12)</f>
        <v/>
      </c>
      <c r="G151" s="16">
        <f>IF(OR(D151&lt;=0,C151&gt;Parametry!$C$6),0,ROUND(-PMT(E151/12,MAX(1,Parametry!$C$6-C151+1),D151),2))</f>
        <v/>
      </c>
      <c r="H151" s="18" t="n"/>
      <c r="I151" s="19">
        <f>IF(OR(L151&lt;=0,C151&gt;=Parametry!$C$6),0,ROUND(-PMT(IF(C151+1&lt;=Parametry!$C$9,Parametry!$C$8,Parametry!$C$10)/12,MAX(1,Parametry!$C$6-C151),L151),2))</f>
        <v/>
      </c>
      <c r="J151" s="20">
        <f>IF(D151&lt;=0,0,MIN(G151+N(H151),D151+F151))</f>
        <v/>
      </c>
      <c r="K151" s="16">
        <f>IF(J151&lt;=0,0,MAX(0,J151-F151))</f>
        <v/>
      </c>
      <c r="L151" s="20">
        <f>IF(D151&lt;=0,0,MAX(0,D151-K151))</f>
        <v/>
      </c>
      <c r="M151" s="21">
        <f>IF(OR(L151&lt;=0,G151&lt;=L151*E151/12),0,MAX(0,ROUNDUP(-LN(1-L151*(E151/12)/G151)/LN(1+E151/12),0)))</f>
        <v/>
      </c>
    </row>
    <row r="152" ht="18" customHeight="1">
      <c r="A152" s="22" t="n">
        <v>150</v>
      </c>
      <c r="B152" s="23">
        <f>IF(C152&lt;=Parametry!$C$6,DATE(Parametry!$C$12+INT((Parametry!$C$13+150-2)/12),MOD(Parametry!$C$13+150-2,12)+1,Parametry!$C$11),"")</f>
        <v/>
      </c>
      <c r="C152" s="24" t="n">
        <v>150</v>
      </c>
      <c r="D152" s="25">
        <f>IF(C152&lt;=Parametry!$C$6,L151,0)</f>
        <v/>
      </c>
      <c r="E152" s="26">
        <f>IF(OR(D152&lt;=0,C152&gt;Parametry!$C$6),0,IF(C152&lt;=Parametry!$C$9,Parametry!$C$8,Parametry!$C$10))</f>
        <v/>
      </c>
      <c r="F152" s="25">
        <f>IF(D152&lt;=0,0,D152*E152/12)</f>
        <v/>
      </c>
      <c r="G152" s="25">
        <f>IF(OR(D152&lt;=0,C152&gt;Parametry!$C$6),0,ROUND(-PMT(E152/12,MAX(1,Parametry!$C$6-C152+1),D152),2))</f>
        <v/>
      </c>
      <c r="H152" s="18" t="n"/>
      <c r="I152" s="19">
        <f>IF(OR(L152&lt;=0,C152&gt;=Parametry!$C$6),0,ROUND(-PMT(IF(C152+1&lt;=Parametry!$C$9,Parametry!$C$8,Parametry!$C$10)/12,MAX(1,Parametry!$C$6-C152),L152),2))</f>
        <v/>
      </c>
      <c r="J152" s="27">
        <f>IF(D152&lt;=0,0,MIN(G152+N(H152),D152+F152))</f>
        <v/>
      </c>
      <c r="K152" s="25">
        <f>IF(J152&lt;=0,0,MAX(0,J152-F152))</f>
        <v/>
      </c>
      <c r="L152" s="27">
        <f>IF(D152&lt;=0,0,MAX(0,D152-K152))</f>
        <v/>
      </c>
      <c r="M152" s="28">
        <f>IF(OR(L152&lt;=0,G152&lt;=L152*E152/12),0,MAX(0,ROUNDUP(-LN(1-L152*(E152/12)/G152)/LN(1+E152/12),0)))</f>
        <v/>
      </c>
    </row>
    <row r="153" ht="18" customHeight="1">
      <c r="A153" s="13" t="n">
        <v>151</v>
      </c>
      <c r="B153" s="14">
        <f>IF(C153&lt;=Parametry!$C$6,DATE(Parametry!$C$12+INT((Parametry!$C$13+151-2)/12),MOD(Parametry!$C$13+151-2,12)+1,Parametry!$C$11),"")</f>
        <v/>
      </c>
      <c r="C153" s="15" t="n">
        <v>151</v>
      </c>
      <c r="D153" s="16">
        <f>IF(C153&lt;=Parametry!$C$6,L152,0)</f>
        <v/>
      </c>
      <c r="E153" s="17">
        <f>IF(OR(D153&lt;=0,C153&gt;Parametry!$C$6),0,IF(C153&lt;=Parametry!$C$9,Parametry!$C$8,Parametry!$C$10))</f>
        <v/>
      </c>
      <c r="F153" s="16">
        <f>IF(D153&lt;=0,0,D153*E153/12)</f>
        <v/>
      </c>
      <c r="G153" s="16">
        <f>IF(OR(D153&lt;=0,C153&gt;Parametry!$C$6),0,ROUND(-PMT(E153/12,MAX(1,Parametry!$C$6-C153+1),D153),2))</f>
        <v/>
      </c>
      <c r="H153" s="18" t="n"/>
      <c r="I153" s="19">
        <f>IF(OR(L153&lt;=0,C153&gt;=Parametry!$C$6),0,ROUND(-PMT(IF(C153+1&lt;=Parametry!$C$9,Parametry!$C$8,Parametry!$C$10)/12,MAX(1,Parametry!$C$6-C153),L153),2))</f>
        <v/>
      </c>
      <c r="J153" s="20">
        <f>IF(D153&lt;=0,0,MIN(G153+N(H153),D153+F153))</f>
        <v/>
      </c>
      <c r="K153" s="16">
        <f>IF(J153&lt;=0,0,MAX(0,J153-F153))</f>
        <v/>
      </c>
      <c r="L153" s="20">
        <f>IF(D153&lt;=0,0,MAX(0,D153-K153))</f>
        <v/>
      </c>
      <c r="M153" s="21">
        <f>IF(OR(L153&lt;=0,G153&lt;=L153*E153/12),0,MAX(0,ROUNDUP(-LN(1-L153*(E153/12)/G153)/LN(1+E153/12),0)))</f>
        <v/>
      </c>
    </row>
    <row r="154" ht="18" customHeight="1">
      <c r="A154" s="22" t="n">
        <v>152</v>
      </c>
      <c r="B154" s="23">
        <f>IF(C154&lt;=Parametry!$C$6,DATE(Parametry!$C$12+INT((Parametry!$C$13+152-2)/12),MOD(Parametry!$C$13+152-2,12)+1,Parametry!$C$11),"")</f>
        <v/>
      </c>
      <c r="C154" s="24" t="n">
        <v>152</v>
      </c>
      <c r="D154" s="25">
        <f>IF(C154&lt;=Parametry!$C$6,L153,0)</f>
        <v/>
      </c>
      <c r="E154" s="26">
        <f>IF(OR(D154&lt;=0,C154&gt;Parametry!$C$6),0,IF(C154&lt;=Parametry!$C$9,Parametry!$C$8,Parametry!$C$10))</f>
        <v/>
      </c>
      <c r="F154" s="25">
        <f>IF(D154&lt;=0,0,D154*E154/12)</f>
        <v/>
      </c>
      <c r="G154" s="25">
        <f>IF(OR(D154&lt;=0,C154&gt;Parametry!$C$6),0,ROUND(-PMT(E154/12,MAX(1,Parametry!$C$6-C154+1),D154),2))</f>
        <v/>
      </c>
      <c r="H154" s="18" t="n"/>
      <c r="I154" s="19">
        <f>IF(OR(L154&lt;=0,C154&gt;=Parametry!$C$6),0,ROUND(-PMT(IF(C154+1&lt;=Parametry!$C$9,Parametry!$C$8,Parametry!$C$10)/12,MAX(1,Parametry!$C$6-C154),L154),2))</f>
        <v/>
      </c>
      <c r="J154" s="27">
        <f>IF(D154&lt;=0,0,MIN(G154+N(H154),D154+F154))</f>
        <v/>
      </c>
      <c r="K154" s="25">
        <f>IF(J154&lt;=0,0,MAX(0,J154-F154))</f>
        <v/>
      </c>
      <c r="L154" s="27">
        <f>IF(D154&lt;=0,0,MAX(0,D154-K154))</f>
        <v/>
      </c>
      <c r="M154" s="28">
        <f>IF(OR(L154&lt;=0,G154&lt;=L154*E154/12),0,MAX(0,ROUNDUP(-LN(1-L154*(E154/12)/G154)/LN(1+E154/12),0)))</f>
        <v/>
      </c>
    </row>
    <row r="155" ht="18" customHeight="1">
      <c r="A155" s="13" t="n">
        <v>153</v>
      </c>
      <c r="B155" s="14">
        <f>IF(C155&lt;=Parametry!$C$6,DATE(Parametry!$C$12+INT((Parametry!$C$13+153-2)/12),MOD(Parametry!$C$13+153-2,12)+1,Parametry!$C$11),"")</f>
        <v/>
      </c>
      <c r="C155" s="15" t="n">
        <v>153</v>
      </c>
      <c r="D155" s="16">
        <f>IF(C155&lt;=Parametry!$C$6,L154,0)</f>
        <v/>
      </c>
      <c r="E155" s="17">
        <f>IF(OR(D155&lt;=0,C155&gt;Parametry!$C$6),0,IF(C155&lt;=Parametry!$C$9,Parametry!$C$8,Parametry!$C$10))</f>
        <v/>
      </c>
      <c r="F155" s="16">
        <f>IF(D155&lt;=0,0,D155*E155/12)</f>
        <v/>
      </c>
      <c r="G155" s="16">
        <f>IF(OR(D155&lt;=0,C155&gt;Parametry!$C$6),0,ROUND(-PMT(E155/12,MAX(1,Parametry!$C$6-C155+1),D155),2))</f>
        <v/>
      </c>
      <c r="H155" s="18" t="n"/>
      <c r="I155" s="19">
        <f>IF(OR(L155&lt;=0,C155&gt;=Parametry!$C$6),0,ROUND(-PMT(IF(C155+1&lt;=Parametry!$C$9,Parametry!$C$8,Parametry!$C$10)/12,MAX(1,Parametry!$C$6-C155),L155),2))</f>
        <v/>
      </c>
      <c r="J155" s="20">
        <f>IF(D155&lt;=0,0,MIN(G155+N(H155),D155+F155))</f>
        <v/>
      </c>
      <c r="K155" s="16">
        <f>IF(J155&lt;=0,0,MAX(0,J155-F155))</f>
        <v/>
      </c>
      <c r="L155" s="20">
        <f>IF(D155&lt;=0,0,MAX(0,D155-K155))</f>
        <v/>
      </c>
      <c r="M155" s="21">
        <f>IF(OR(L155&lt;=0,G155&lt;=L155*E155/12),0,MAX(0,ROUNDUP(-LN(1-L155*(E155/12)/G155)/LN(1+E155/12),0)))</f>
        <v/>
      </c>
    </row>
    <row r="156" ht="18" customHeight="1">
      <c r="A156" s="22" t="n">
        <v>154</v>
      </c>
      <c r="B156" s="23">
        <f>IF(C156&lt;=Parametry!$C$6,DATE(Parametry!$C$12+INT((Parametry!$C$13+154-2)/12),MOD(Parametry!$C$13+154-2,12)+1,Parametry!$C$11),"")</f>
        <v/>
      </c>
      <c r="C156" s="24" t="n">
        <v>154</v>
      </c>
      <c r="D156" s="25">
        <f>IF(C156&lt;=Parametry!$C$6,L155,0)</f>
        <v/>
      </c>
      <c r="E156" s="26">
        <f>IF(OR(D156&lt;=0,C156&gt;Parametry!$C$6),0,IF(C156&lt;=Parametry!$C$9,Parametry!$C$8,Parametry!$C$10))</f>
        <v/>
      </c>
      <c r="F156" s="25">
        <f>IF(D156&lt;=0,0,D156*E156/12)</f>
        <v/>
      </c>
      <c r="G156" s="25">
        <f>IF(OR(D156&lt;=0,C156&gt;Parametry!$C$6),0,ROUND(-PMT(E156/12,MAX(1,Parametry!$C$6-C156+1),D156),2))</f>
        <v/>
      </c>
      <c r="H156" s="18" t="n"/>
      <c r="I156" s="19">
        <f>IF(OR(L156&lt;=0,C156&gt;=Parametry!$C$6),0,ROUND(-PMT(IF(C156+1&lt;=Parametry!$C$9,Parametry!$C$8,Parametry!$C$10)/12,MAX(1,Parametry!$C$6-C156),L156),2))</f>
        <v/>
      </c>
      <c r="J156" s="27">
        <f>IF(D156&lt;=0,0,MIN(G156+N(H156),D156+F156))</f>
        <v/>
      </c>
      <c r="K156" s="25">
        <f>IF(J156&lt;=0,0,MAX(0,J156-F156))</f>
        <v/>
      </c>
      <c r="L156" s="27">
        <f>IF(D156&lt;=0,0,MAX(0,D156-K156))</f>
        <v/>
      </c>
      <c r="M156" s="28">
        <f>IF(OR(L156&lt;=0,G156&lt;=L156*E156/12),0,MAX(0,ROUNDUP(-LN(1-L156*(E156/12)/G156)/LN(1+E156/12),0)))</f>
        <v/>
      </c>
    </row>
    <row r="157" ht="18" customHeight="1">
      <c r="A157" s="13" t="n">
        <v>155</v>
      </c>
      <c r="B157" s="14">
        <f>IF(C157&lt;=Parametry!$C$6,DATE(Parametry!$C$12+INT((Parametry!$C$13+155-2)/12),MOD(Parametry!$C$13+155-2,12)+1,Parametry!$C$11),"")</f>
        <v/>
      </c>
      <c r="C157" s="15" t="n">
        <v>155</v>
      </c>
      <c r="D157" s="16">
        <f>IF(C157&lt;=Parametry!$C$6,L156,0)</f>
        <v/>
      </c>
      <c r="E157" s="17">
        <f>IF(OR(D157&lt;=0,C157&gt;Parametry!$C$6),0,IF(C157&lt;=Parametry!$C$9,Parametry!$C$8,Parametry!$C$10))</f>
        <v/>
      </c>
      <c r="F157" s="16">
        <f>IF(D157&lt;=0,0,D157*E157/12)</f>
        <v/>
      </c>
      <c r="G157" s="16">
        <f>IF(OR(D157&lt;=0,C157&gt;Parametry!$C$6),0,ROUND(-PMT(E157/12,MAX(1,Parametry!$C$6-C157+1),D157),2))</f>
        <v/>
      </c>
      <c r="H157" s="18" t="n"/>
      <c r="I157" s="19">
        <f>IF(OR(L157&lt;=0,C157&gt;=Parametry!$C$6),0,ROUND(-PMT(IF(C157+1&lt;=Parametry!$C$9,Parametry!$C$8,Parametry!$C$10)/12,MAX(1,Parametry!$C$6-C157),L157),2))</f>
        <v/>
      </c>
      <c r="J157" s="20">
        <f>IF(D157&lt;=0,0,MIN(G157+N(H157),D157+F157))</f>
        <v/>
      </c>
      <c r="K157" s="16">
        <f>IF(J157&lt;=0,0,MAX(0,J157-F157))</f>
        <v/>
      </c>
      <c r="L157" s="20">
        <f>IF(D157&lt;=0,0,MAX(0,D157-K157))</f>
        <v/>
      </c>
      <c r="M157" s="21">
        <f>IF(OR(L157&lt;=0,G157&lt;=L157*E157/12),0,MAX(0,ROUNDUP(-LN(1-L157*(E157/12)/G157)/LN(1+E157/12),0)))</f>
        <v/>
      </c>
    </row>
    <row r="158" ht="18" customHeight="1">
      <c r="A158" s="22" t="n">
        <v>156</v>
      </c>
      <c r="B158" s="23">
        <f>IF(C158&lt;=Parametry!$C$6,DATE(Parametry!$C$12+INT((Parametry!$C$13+156-2)/12),MOD(Parametry!$C$13+156-2,12)+1,Parametry!$C$11),"")</f>
        <v/>
      </c>
      <c r="C158" s="24" t="n">
        <v>156</v>
      </c>
      <c r="D158" s="25">
        <f>IF(C158&lt;=Parametry!$C$6,L157,0)</f>
        <v/>
      </c>
      <c r="E158" s="26">
        <f>IF(OR(D158&lt;=0,C158&gt;Parametry!$C$6),0,IF(C158&lt;=Parametry!$C$9,Parametry!$C$8,Parametry!$C$10))</f>
        <v/>
      </c>
      <c r="F158" s="25">
        <f>IF(D158&lt;=0,0,D158*E158/12)</f>
        <v/>
      </c>
      <c r="G158" s="25">
        <f>IF(OR(D158&lt;=0,C158&gt;Parametry!$C$6),0,ROUND(-PMT(E158/12,MAX(1,Parametry!$C$6-C158+1),D158),2))</f>
        <v/>
      </c>
      <c r="H158" s="18" t="n"/>
      <c r="I158" s="19">
        <f>IF(OR(L158&lt;=0,C158&gt;=Parametry!$C$6),0,ROUND(-PMT(IF(C158+1&lt;=Parametry!$C$9,Parametry!$C$8,Parametry!$C$10)/12,MAX(1,Parametry!$C$6-C158),L158),2))</f>
        <v/>
      </c>
      <c r="J158" s="27">
        <f>IF(D158&lt;=0,0,MIN(G158+N(H158),D158+F158))</f>
        <v/>
      </c>
      <c r="K158" s="25">
        <f>IF(J158&lt;=0,0,MAX(0,J158-F158))</f>
        <v/>
      </c>
      <c r="L158" s="27">
        <f>IF(D158&lt;=0,0,MAX(0,D158-K158))</f>
        <v/>
      </c>
      <c r="M158" s="28">
        <f>IF(OR(L158&lt;=0,G158&lt;=L158*E158/12),0,MAX(0,ROUNDUP(-LN(1-L158*(E158/12)/G158)/LN(1+E158/12),0)))</f>
        <v/>
      </c>
    </row>
    <row r="159" ht="18" customHeight="1">
      <c r="A159" s="13" t="n">
        <v>157</v>
      </c>
      <c r="B159" s="14">
        <f>IF(C159&lt;=Parametry!$C$6,DATE(Parametry!$C$12+INT((Parametry!$C$13+157-2)/12),MOD(Parametry!$C$13+157-2,12)+1,Parametry!$C$11),"")</f>
        <v/>
      </c>
      <c r="C159" s="15" t="n">
        <v>157</v>
      </c>
      <c r="D159" s="16">
        <f>IF(C159&lt;=Parametry!$C$6,L158,0)</f>
        <v/>
      </c>
      <c r="E159" s="17">
        <f>IF(OR(D159&lt;=0,C159&gt;Parametry!$C$6),0,IF(C159&lt;=Parametry!$C$9,Parametry!$C$8,Parametry!$C$10))</f>
        <v/>
      </c>
      <c r="F159" s="16">
        <f>IF(D159&lt;=0,0,D159*E159/12)</f>
        <v/>
      </c>
      <c r="G159" s="16">
        <f>IF(OR(D159&lt;=0,C159&gt;Parametry!$C$6),0,ROUND(-PMT(E159/12,MAX(1,Parametry!$C$6-C159+1),D159),2))</f>
        <v/>
      </c>
      <c r="H159" s="18" t="n"/>
      <c r="I159" s="19">
        <f>IF(OR(L159&lt;=0,C159&gt;=Parametry!$C$6),0,ROUND(-PMT(IF(C159+1&lt;=Parametry!$C$9,Parametry!$C$8,Parametry!$C$10)/12,MAX(1,Parametry!$C$6-C159),L159),2))</f>
        <v/>
      </c>
      <c r="J159" s="20">
        <f>IF(D159&lt;=0,0,MIN(G159+N(H159),D159+F159))</f>
        <v/>
      </c>
      <c r="K159" s="16">
        <f>IF(J159&lt;=0,0,MAX(0,J159-F159))</f>
        <v/>
      </c>
      <c r="L159" s="20">
        <f>IF(D159&lt;=0,0,MAX(0,D159-K159))</f>
        <v/>
      </c>
      <c r="M159" s="21">
        <f>IF(OR(L159&lt;=0,G159&lt;=L159*E159/12),0,MAX(0,ROUNDUP(-LN(1-L159*(E159/12)/G159)/LN(1+E159/12),0)))</f>
        <v/>
      </c>
    </row>
    <row r="160" ht="18" customHeight="1">
      <c r="A160" s="22" t="n">
        <v>158</v>
      </c>
      <c r="B160" s="23">
        <f>IF(C160&lt;=Parametry!$C$6,DATE(Parametry!$C$12+INT((Parametry!$C$13+158-2)/12),MOD(Parametry!$C$13+158-2,12)+1,Parametry!$C$11),"")</f>
        <v/>
      </c>
      <c r="C160" s="24" t="n">
        <v>158</v>
      </c>
      <c r="D160" s="25">
        <f>IF(C160&lt;=Parametry!$C$6,L159,0)</f>
        <v/>
      </c>
      <c r="E160" s="26">
        <f>IF(OR(D160&lt;=0,C160&gt;Parametry!$C$6),0,IF(C160&lt;=Parametry!$C$9,Parametry!$C$8,Parametry!$C$10))</f>
        <v/>
      </c>
      <c r="F160" s="25">
        <f>IF(D160&lt;=0,0,D160*E160/12)</f>
        <v/>
      </c>
      <c r="G160" s="25">
        <f>IF(OR(D160&lt;=0,C160&gt;Parametry!$C$6),0,ROUND(-PMT(E160/12,MAX(1,Parametry!$C$6-C160+1),D160),2))</f>
        <v/>
      </c>
      <c r="H160" s="18" t="n"/>
      <c r="I160" s="19">
        <f>IF(OR(L160&lt;=0,C160&gt;=Parametry!$C$6),0,ROUND(-PMT(IF(C160+1&lt;=Parametry!$C$9,Parametry!$C$8,Parametry!$C$10)/12,MAX(1,Parametry!$C$6-C160),L160),2))</f>
        <v/>
      </c>
      <c r="J160" s="27">
        <f>IF(D160&lt;=0,0,MIN(G160+N(H160),D160+F160))</f>
        <v/>
      </c>
      <c r="K160" s="25">
        <f>IF(J160&lt;=0,0,MAX(0,J160-F160))</f>
        <v/>
      </c>
      <c r="L160" s="27">
        <f>IF(D160&lt;=0,0,MAX(0,D160-K160))</f>
        <v/>
      </c>
      <c r="M160" s="28">
        <f>IF(OR(L160&lt;=0,G160&lt;=L160*E160/12),0,MAX(0,ROUNDUP(-LN(1-L160*(E160/12)/G160)/LN(1+E160/12),0)))</f>
        <v/>
      </c>
    </row>
    <row r="161" ht="18" customHeight="1">
      <c r="A161" s="13" t="n">
        <v>159</v>
      </c>
      <c r="B161" s="14">
        <f>IF(C161&lt;=Parametry!$C$6,DATE(Parametry!$C$12+INT((Parametry!$C$13+159-2)/12),MOD(Parametry!$C$13+159-2,12)+1,Parametry!$C$11),"")</f>
        <v/>
      </c>
      <c r="C161" s="15" t="n">
        <v>159</v>
      </c>
      <c r="D161" s="16">
        <f>IF(C161&lt;=Parametry!$C$6,L160,0)</f>
        <v/>
      </c>
      <c r="E161" s="17">
        <f>IF(OR(D161&lt;=0,C161&gt;Parametry!$C$6),0,IF(C161&lt;=Parametry!$C$9,Parametry!$C$8,Parametry!$C$10))</f>
        <v/>
      </c>
      <c r="F161" s="16">
        <f>IF(D161&lt;=0,0,D161*E161/12)</f>
        <v/>
      </c>
      <c r="G161" s="16">
        <f>IF(OR(D161&lt;=0,C161&gt;Parametry!$C$6),0,ROUND(-PMT(E161/12,MAX(1,Parametry!$C$6-C161+1),D161),2))</f>
        <v/>
      </c>
      <c r="H161" s="18" t="n"/>
      <c r="I161" s="19">
        <f>IF(OR(L161&lt;=0,C161&gt;=Parametry!$C$6),0,ROUND(-PMT(IF(C161+1&lt;=Parametry!$C$9,Parametry!$C$8,Parametry!$C$10)/12,MAX(1,Parametry!$C$6-C161),L161),2))</f>
        <v/>
      </c>
      <c r="J161" s="20">
        <f>IF(D161&lt;=0,0,MIN(G161+N(H161),D161+F161))</f>
        <v/>
      </c>
      <c r="K161" s="16">
        <f>IF(J161&lt;=0,0,MAX(0,J161-F161))</f>
        <v/>
      </c>
      <c r="L161" s="20">
        <f>IF(D161&lt;=0,0,MAX(0,D161-K161))</f>
        <v/>
      </c>
      <c r="M161" s="21">
        <f>IF(OR(L161&lt;=0,G161&lt;=L161*E161/12),0,MAX(0,ROUNDUP(-LN(1-L161*(E161/12)/G161)/LN(1+E161/12),0)))</f>
        <v/>
      </c>
    </row>
    <row r="162" ht="18" customHeight="1">
      <c r="A162" s="22" t="n">
        <v>160</v>
      </c>
      <c r="B162" s="23">
        <f>IF(C162&lt;=Parametry!$C$6,DATE(Parametry!$C$12+INT((Parametry!$C$13+160-2)/12),MOD(Parametry!$C$13+160-2,12)+1,Parametry!$C$11),"")</f>
        <v/>
      </c>
      <c r="C162" s="24" t="n">
        <v>160</v>
      </c>
      <c r="D162" s="25">
        <f>IF(C162&lt;=Parametry!$C$6,L161,0)</f>
        <v/>
      </c>
      <c r="E162" s="26">
        <f>IF(OR(D162&lt;=0,C162&gt;Parametry!$C$6),0,IF(C162&lt;=Parametry!$C$9,Parametry!$C$8,Parametry!$C$10))</f>
        <v/>
      </c>
      <c r="F162" s="25">
        <f>IF(D162&lt;=0,0,D162*E162/12)</f>
        <v/>
      </c>
      <c r="G162" s="25">
        <f>IF(OR(D162&lt;=0,C162&gt;Parametry!$C$6),0,ROUND(-PMT(E162/12,MAX(1,Parametry!$C$6-C162+1),D162),2))</f>
        <v/>
      </c>
      <c r="H162" s="18" t="n"/>
      <c r="I162" s="19">
        <f>IF(OR(L162&lt;=0,C162&gt;=Parametry!$C$6),0,ROUND(-PMT(IF(C162+1&lt;=Parametry!$C$9,Parametry!$C$8,Parametry!$C$10)/12,MAX(1,Parametry!$C$6-C162),L162),2))</f>
        <v/>
      </c>
      <c r="J162" s="27">
        <f>IF(D162&lt;=0,0,MIN(G162+N(H162),D162+F162))</f>
        <v/>
      </c>
      <c r="K162" s="25">
        <f>IF(J162&lt;=0,0,MAX(0,J162-F162))</f>
        <v/>
      </c>
      <c r="L162" s="27">
        <f>IF(D162&lt;=0,0,MAX(0,D162-K162))</f>
        <v/>
      </c>
      <c r="M162" s="28">
        <f>IF(OR(L162&lt;=0,G162&lt;=L162*E162/12),0,MAX(0,ROUNDUP(-LN(1-L162*(E162/12)/G162)/LN(1+E162/12),0)))</f>
        <v/>
      </c>
    </row>
    <row r="163" ht="18" customHeight="1">
      <c r="A163" s="13" t="n">
        <v>161</v>
      </c>
      <c r="B163" s="14">
        <f>IF(C163&lt;=Parametry!$C$6,DATE(Parametry!$C$12+INT((Parametry!$C$13+161-2)/12),MOD(Parametry!$C$13+161-2,12)+1,Parametry!$C$11),"")</f>
        <v/>
      </c>
      <c r="C163" s="15" t="n">
        <v>161</v>
      </c>
      <c r="D163" s="16">
        <f>IF(C163&lt;=Parametry!$C$6,L162,0)</f>
        <v/>
      </c>
      <c r="E163" s="17">
        <f>IF(OR(D163&lt;=0,C163&gt;Parametry!$C$6),0,IF(C163&lt;=Parametry!$C$9,Parametry!$C$8,Parametry!$C$10))</f>
        <v/>
      </c>
      <c r="F163" s="16">
        <f>IF(D163&lt;=0,0,D163*E163/12)</f>
        <v/>
      </c>
      <c r="G163" s="16">
        <f>IF(OR(D163&lt;=0,C163&gt;Parametry!$C$6),0,ROUND(-PMT(E163/12,MAX(1,Parametry!$C$6-C163+1),D163),2))</f>
        <v/>
      </c>
      <c r="H163" s="18" t="n"/>
      <c r="I163" s="19">
        <f>IF(OR(L163&lt;=0,C163&gt;=Parametry!$C$6),0,ROUND(-PMT(IF(C163+1&lt;=Parametry!$C$9,Parametry!$C$8,Parametry!$C$10)/12,MAX(1,Parametry!$C$6-C163),L163),2))</f>
        <v/>
      </c>
      <c r="J163" s="20">
        <f>IF(D163&lt;=0,0,MIN(G163+N(H163),D163+F163))</f>
        <v/>
      </c>
      <c r="K163" s="16">
        <f>IF(J163&lt;=0,0,MAX(0,J163-F163))</f>
        <v/>
      </c>
      <c r="L163" s="20">
        <f>IF(D163&lt;=0,0,MAX(0,D163-K163))</f>
        <v/>
      </c>
      <c r="M163" s="21">
        <f>IF(OR(L163&lt;=0,G163&lt;=L163*E163/12),0,MAX(0,ROUNDUP(-LN(1-L163*(E163/12)/G163)/LN(1+E163/12),0)))</f>
        <v/>
      </c>
    </row>
    <row r="164" ht="18" customHeight="1">
      <c r="A164" s="22" t="n">
        <v>162</v>
      </c>
      <c r="B164" s="23">
        <f>IF(C164&lt;=Parametry!$C$6,DATE(Parametry!$C$12+INT((Parametry!$C$13+162-2)/12),MOD(Parametry!$C$13+162-2,12)+1,Parametry!$C$11),"")</f>
        <v/>
      </c>
      <c r="C164" s="24" t="n">
        <v>162</v>
      </c>
      <c r="D164" s="25">
        <f>IF(C164&lt;=Parametry!$C$6,L163,0)</f>
        <v/>
      </c>
      <c r="E164" s="26">
        <f>IF(OR(D164&lt;=0,C164&gt;Parametry!$C$6),0,IF(C164&lt;=Parametry!$C$9,Parametry!$C$8,Parametry!$C$10))</f>
        <v/>
      </c>
      <c r="F164" s="25">
        <f>IF(D164&lt;=0,0,D164*E164/12)</f>
        <v/>
      </c>
      <c r="G164" s="25">
        <f>IF(OR(D164&lt;=0,C164&gt;Parametry!$C$6),0,ROUND(-PMT(E164/12,MAX(1,Parametry!$C$6-C164+1),D164),2))</f>
        <v/>
      </c>
      <c r="H164" s="18" t="n"/>
      <c r="I164" s="19">
        <f>IF(OR(L164&lt;=0,C164&gt;=Parametry!$C$6),0,ROUND(-PMT(IF(C164+1&lt;=Parametry!$C$9,Parametry!$C$8,Parametry!$C$10)/12,MAX(1,Parametry!$C$6-C164),L164),2))</f>
        <v/>
      </c>
      <c r="J164" s="27">
        <f>IF(D164&lt;=0,0,MIN(G164+N(H164),D164+F164))</f>
        <v/>
      </c>
      <c r="K164" s="25">
        <f>IF(J164&lt;=0,0,MAX(0,J164-F164))</f>
        <v/>
      </c>
      <c r="L164" s="27">
        <f>IF(D164&lt;=0,0,MAX(0,D164-K164))</f>
        <v/>
      </c>
      <c r="M164" s="28">
        <f>IF(OR(L164&lt;=0,G164&lt;=L164*E164/12),0,MAX(0,ROUNDUP(-LN(1-L164*(E164/12)/G164)/LN(1+E164/12),0)))</f>
        <v/>
      </c>
    </row>
    <row r="165" ht="18" customHeight="1">
      <c r="A165" s="13" t="n">
        <v>163</v>
      </c>
      <c r="B165" s="14">
        <f>IF(C165&lt;=Parametry!$C$6,DATE(Parametry!$C$12+INT((Parametry!$C$13+163-2)/12),MOD(Parametry!$C$13+163-2,12)+1,Parametry!$C$11),"")</f>
        <v/>
      </c>
      <c r="C165" s="15" t="n">
        <v>163</v>
      </c>
      <c r="D165" s="16">
        <f>IF(C165&lt;=Parametry!$C$6,L164,0)</f>
        <v/>
      </c>
      <c r="E165" s="17">
        <f>IF(OR(D165&lt;=0,C165&gt;Parametry!$C$6),0,IF(C165&lt;=Parametry!$C$9,Parametry!$C$8,Parametry!$C$10))</f>
        <v/>
      </c>
      <c r="F165" s="16">
        <f>IF(D165&lt;=0,0,D165*E165/12)</f>
        <v/>
      </c>
      <c r="G165" s="16">
        <f>IF(OR(D165&lt;=0,C165&gt;Parametry!$C$6),0,ROUND(-PMT(E165/12,MAX(1,Parametry!$C$6-C165+1),D165),2))</f>
        <v/>
      </c>
      <c r="H165" s="18" t="n"/>
      <c r="I165" s="19">
        <f>IF(OR(L165&lt;=0,C165&gt;=Parametry!$C$6),0,ROUND(-PMT(IF(C165+1&lt;=Parametry!$C$9,Parametry!$C$8,Parametry!$C$10)/12,MAX(1,Parametry!$C$6-C165),L165),2))</f>
        <v/>
      </c>
      <c r="J165" s="20">
        <f>IF(D165&lt;=0,0,MIN(G165+N(H165),D165+F165))</f>
        <v/>
      </c>
      <c r="K165" s="16">
        <f>IF(J165&lt;=0,0,MAX(0,J165-F165))</f>
        <v/>
      </c>
      <c r="L165" s="20">
        <f>IF(D165&lt;=0,0,MAX(0,D165-K165))</f>
        <v/>
      </c>
      <c r="M165" s="21">
        <f>IF(OR(L165&lt;=0,G165&lt;=L165*E165/12),0,MAX(0,ROUNDUP(-LN(1-L165*(E165/12)/G165)/LN(1+E165/12),0)))</f>
        <v/>
      </c>
    </row>
    <row r="166" ht="18" customHeight="1">
      <c r="A166" s="22" t="n">
        <v>164</v>
      </c>
      <c r="B166" s="23">
        <f>IF(C166&lt;=Parametry!$C$6,DATE(Parametry!$C$12+INT((Parametry!$C$13+164-2)/12),MOD(Parametry!$C$13+164-2,12)+1,Parametry!$C$11),"")</f>
        <v/>
      </c>
      <c r="C166" s="24" t="n">
        <v>164</v>
      </c>
      <c r="D166" s="25">
        <f>IF(C166&lt;=Parametry!$C$6,L165,0)</f>
        <v/>
      </c>
      <c r="E166" s="26">
        <f>IF(OR(D166&lt;=0,C166&gt;Parametry!$C$6),0,IF(C166&lt;=Parametry!$C$9,Parametry!$C$8,Parametry!$C$10))</f>
        <v/>
      </c>
      <c r="F166" s="25">
        <f>IF(D166&lt;=0,0,D166*E166/12)</f>
        <v/>
      </c>
      <c r="G166" s="25">
        <f>IF(OR(D166&lt;=0,C166&gt;Parametry!$C$6),0,ROUND(-PMT(E166/12,MAX(1,Parametry!$C$6-C166+1),D166),2))</f>
        <v/>
      </c>
      <c r="H166" s="18" t="n"/>
      <c r="I166" s="19">
        <f>IF(OR(L166&lt;=0,C166&gt;=Parametry!$C$6),0,ROUND(-PMT(IF(C166+1&lt;=Parametry!$C$9,Parametry!$C$8,Parametry!$C$10)/12,MAX(1,Parametry!$C$6-C166),L166),2))</f>
        <v/>
      </c>
      <c r="J166" s="27">
        <f>IF(D166&lt;=0,0,MIN(G166+N(H166),D166+F166))</f>
        <v/>
      </c>
      <c r="K166" s="25">
        <f>IF(J166&lt;=0,0,MAX(0,J166-F166))</f>
        <v/>
      </c>
      <c r="L166" s="27">
        <f>IF(D166&lt;=0,0,MAX(0,D166-K166))</f>
        <v/>
      </c>
      <c r="M166" s="28">
        <f>IF(OR(L166&lt;=0,G166&lt;=L166*E166/12),0,MAX(0,ROUNDUP(-LN(1-L166*(E166/12)/G166)/LN(1+E166/12),0)))</f>
        <v/>
      </c>
    </row>
    <row r="167" ht="18" customHeight="1">
      <c r="A167" s="13" t="n">
        <v>165</v>
      </c>
      <c r="B167" s="14">
        <f>IF(C167&lt;=Parametry!$C$6,DATE(Parametry!$C$12+INT((Parametry!$C$13+165-2)/12),MOD(Parametry!$C$13+165-2,12)+1,Parametry!$C$11),"")</f>
        <v/>
      </c>
      <c r="C167" s="15" t="n">
        <v>165</v>
      </c>
      <c r="D167" s="16">
        <f>IF(C167&lt;=Parametry!$C$6,L166,0)</f>
        <v/>
      </c>
      <c r="E167" s="17">
        <f>IF(OR(D167&lt;=0,C167&gt;Parametry!$C$6),0,IF(C167&lt;=Parametry!$C$9,Parametry!$C$8,Parametry!$C$10))</f>
        <v/>
      </c>
      <c r="F167" s="16">
        <f>IF(D167&lt;=0,0,D167*E167/12)</f>
        <v/>
      </c>
      <c r="G167" s="16">
        <f>IF(OR(D167&lt;=0,C167&gt;Parametry!$C$6),0,ROUND(-PMT(E167/12,MAX(1,Parametry!$C$6-C167+1),D167),2))</f>
        <v/>
      </c>
      <c r="H167" s="18" t="n"/>
      <c r="I167" s="19">
        <f>IF(OR(L167&lt;=0,C167&gt;=Parametry!$C$6),0,ROUND(-PMT(IF(C167+1&lt;=Parametry!$C$9,Parametry!$C$8,Parametry!$C$10)/12,MAX(1,Parametry!$C$6-C167),L167),2))</f>
        <v/>
      </c>
      <c r="J167" s="20">
        <f>IF(D167&lt;=0,0,MIN(G167+N(H167),D167+F167))</f>
        <v/>
      </c>
      <c r="K167" s="16">
        <f>IF(J167&lt;=0,0,MAX(0,J167-F167))</f>
        <v/>
      </c>
      <c r="L167" s="20">
        <f>IF(D167&lt;=0,0,MAX(0,D167-K167))</f>
        <v/>
      </c>
      <c r="M167" s="21">
        <f>IF(OR(L167&lt;=0,G167&lt;=L167*E167/12),0,MAX(0,ROUNDUP(-LN(1-L167*(E167/12)/G167)/LN(1+E167/12),0)))</f>
        <v/>
      </c>
    </row>
    <row r="168" ht="18" customHeight="1">
      <c r="A168" s="22" t="n">
        <v>166</v>
      </c>
      <c r="B168" s="23">
        <f>IF(C168&lt;=Parametry!$C$6,DATE(Parametry!$C$12+INT((Parametry!$C$13+166-2)/12),MOD(Parametry!$C$13+166-2,12)+1,Parametry!$C$11),"")</f>
        <v/>
      </c>
      <c r="C168" s="24" t="n">
        <v>166</v>
      </c>
      <c r="D168" s="25">
        <f>IF(C168&lt;=Parametry!$C$6,L167,0)</f>
        <v/>
      </c>
      <c r="E168" s="26">
        <f>IF(OR(D168&lt;=0,C168&gt;Parametry!$C$6),0,IF(C168&lt;=Parametry!$C$9,Parametry!$C$8,Parametry!$C$10))</f>
        <v/>
      </c>
      <c r="F168" s="25">
        <f>IF(D168&lt;=0,0,D168*E168/12)</f>
        <v/>
      </c>
      <c r="G168" s="25">
        <f>IF(OR(D168&lt;=0,C168&gt;Parametry!$C$6),0,ROUND(-PMT(E168/12,MAX(1,Parametry!$C$6-C168+1),D168),2))</f>
        <v/>
      </c>
      <c r="H168" s="18" t="n"/>
      <c r="I168" s="19">
        <f>IF(OR(L168&lt;=0,C168&gt;=Parametry!$C$6),0,ROUND(-PMT(IF(C168+1&lt;=Parametry!$C$9,Parametry!$C$8,Parametry!$C$10)/12,MAX(1,Parametry!$C$6-C168),L168),2))</f>
        <v/>
      </c>
      <c r="J168" s="27">
        <f>IF(D168&lt;=0,0,MIN(G168+N(H168),D168+F168))</f>
        <v/>
      </c>
      <c r="K168" s="25">
        <f>IF(J168&lt;=0,0,MAX(0,J168-F168))</f>
        <v/>
      </c>
      <c r="L168" s="27">
        <f>IF(D168&lt;=0,0,MAX(0,D168-K168))</f>
        <v/>
      </c>
      <c r="M168" s="28">
        <f>IF(OR(L168&lt;=0,G168&lt;=L168*E168/12),0,MAX(0,ROUNDUP(-LN(1-L168*(E168/12)/G168)/LN(1+E168/12),0)))</f>
        <v/>
      </c>
    </row>
    <row r="169" ht="18" customHeight="1">
      <c r="A169" s="13" t="n">
        <v>167</v>
      </c>
      <c r="B169" s="14">
        <f>IF(C169&lt;=Parametry!$C$6,DATE(Parametry!$C$12+INT((Parametry!$C$13+167-2)/12),MOD(Parametry!$C$13+167-2,12)+1,Parametry!$C$11),"")</f>
        <v/>
      </c>
      <c r="C169" s="15" t="n">
        <v>167</v>
      </c>
      <c r="D169" s="16">
        <f>IF(C169&lt;=Parametry!$C$6,L168,0)</f>
        <v/>
      </c>
      <c r="E169" s="17">
        <f>IF(OR(D169&lt;=0,C169&gt;Parametry!$C$6),0,IF(C169&lt;=Parametry!$C$9,Parametry!$C$8,Parametry!$C$10))</f>
        <v/>
      </c>
      <c r="F169" s="16">
        <f>IF(D169&lt;=0,0,D169*E169/12)</f>
        <v/>
      </c>
      <c r="G169" s="16">
        <f>IF(OR(D169&lt;=0,C169&gt;Parametry!$C$6),0,ROUND(-PMT(E169/12,MAX(1,Parametry!$C$6-C169+1),D169),2))</f>
        <v/>
      </c>
      <c r="H169" s="18" t="n"/>
      <c r="I169" s="19">
        <f>IF(OR(L169&lt;=0,C169&gt;=Parametry!$C$6),0,ROUND(-PMT(IF(C169+1&lt;=Parametry!$C$9,Parametry!$C$8,Parametry!$C$10)/12,MAX(1,Parametry!$C$6-C169),L169),2))</f>
        <v/>
      </c>
      <c r="J169" s="20">
        <f>IF(D169&lt;=0,0,MIN(G169+N(H169),D169+F169))</f>
        <v/>
      </c>
      <c r="K169" s="16">
        <f>IF(J169&lt;=0,0,MAX(0,J169-F169))</f>
        <v/>
      </c>
      <c r="L169" s="20">
        <f>IF(D169&lt;=0,0,MAX(0,D169-K169))</f>
        <v/>
      </c>
      <c r="M169" s="21">
        <f>IF(OR(L169&lt;=0,G169&lt;=L169*E169/12),0,MAX(0,ROUNDUP(-LN(1-L169*(E169/12)/G169)/LN(1+E169/12),0)))</f>
        <v/>
      </c>
    </row>
    <row r="170" ht="18" customHeight="1">
      <c r="A170" s="22" t="n">
        <v>168</v>
      </c>
      <c r="B170" s="23">
        <f>IF(C170&lt;=Parametry!$C$6,DATE(Parametry!$C$12+INT((Parametry!$C$13+168-2)/12),MOD(Parametry!$C$13+168-2,12)+1,Parametry!$C$11),"")</f>
        <v/>
      </c>
      <c r="C170" s="24" t="n">
        <v>168</v>
      </c>
      <c r="D170" s="25">
        <f>IF(C170&lt;=Parametry!$C$6,L169,0)</f>
        <v/>
      </c>
      <c r="E170" s="26">
        <f>IF(OR(D170&lt;=0,C170&gt;Parametry!$C$6),0,IF(C170&lt;=Parametry!$C$9,Parametry!$C$8,Parametry!$C$10))</f>
        <v/>
      </c>
      <c r="F170" s="25">
        <f>IF(D170&lt;=0,0,D170*E170/12)</f>
        <v/>
      </c>
      <c r="G170" s="25">
        <f>IF(OR(D170&lt;=0,C170&gt;Parametry!$C$6),0,ROUND(-PMT(E170/12,MAX(1,Parametry!$C$6-C170+1),D170),2))</f>
        <v/>
      </c>
      <c r="H170" s="18" t="n"/>
      <c r="I170" s="19">
        <f>IF(OR(L170&lt;=0,C170&gt;=Parametry!$C$6),0,ROUND(-PMT(IF(C170+1&lt;=Parametry!$C$9,Parametry!$C$8,Parametry!$C$10)/12,MAX(1,Parametry!$C$6-C170),L170),2))</f>
        <v/>
      </c>
      <c r="J170" s="27">
        <f>IF(D170&lt;=0,0,MIN(G170+N(H170),D170+F170))</f>
        <v/>
      </c>
      <c r="K170" s="25">
        <f>IF(J170&lt;=0,0,MAX(0,J170-F170))</f>
        <v/>
      </c>
      <c r="L170" s="27">
        <f>IF(D170&lt;=0,0,MAX(0,D170-K170))</f>
        <v/>
      </c>
      <c r="M170" s="28">
        <f>IF(OR(L170&lt;=0,G170&lt;=L170*E170/12),0,MAX(0,ROUNDUP(-LN(1-L170*(E170/12)/G170)/LN(1+E170/12),0)))</f>
        <v/>
      </c>
    </row>
    <row r="171" ht="18" customHeight="1">
      <c r="A171" s="13" t="n">
        <v>169</v>
      </c>
      <c r="B171" s="14">
        <f>IF(C171&lt;=Parametry!$C$6,DATE(Parametry!$C$12+INT((Parametry!$C$13+169-2)/12),MOD(Parametry!$C$13+169-2,12)+1,Parametry!$C$11),"")</f>
        <v/>
      </c>
      <c r="C171" s="15" t="n">
        <v>169</v>
      </c>
      <c r="D171" s="16">
        <f>IF(C171&lt;=Parametry!$C$6,L170,0)</f>
        <v/>
      </c>
      <c r="E171" s="17">
        <f>IF(OR(D171&lt;=0,C171&gt;Parametry!$C$6),0,IF(C171&lt;=Parametry!$C$9,Parametry!$C$8,Parametry!$C$10))</f>
        <v/>
      </c>
      <c r="F171" s="16">
        <f>IF(D171&lt;=0,0,D171*E171/12)</f>
        <v/>
      </c>
      <c r="G171" s="16">
        <f>IF(OR(D171&lt;=0,C171&gt;Parametry!$C$6),0,ROUND(-PMT(E171/12,MAX(1,Parametry!$C$6-C171+1),D171),2))</f>
        <v/>
      </c>
      <c r="H171" s="18" t="n"/>
      <c r="I171" s="19">
        <f>IF(OR(L171&lt;=0,C171&gt;=Parametry!$C$6),0,ROUND(-PMT(IF(C171+1&lt;=Parametry!$C$9,Parametry!$C$8,Parametry!$C$10)/12,MAX(1,Parametry!$C$6-C171),L171),2))</f>
        <v/>
      </c>
      <c r="J171" s="20">
        <f>IF(D171&lt;=0,0,MIN(G171+N(H171),D171+F171))</f>
        <v/>
      </c>
      <c r="K171" s="16">
        <f>IF(J171&lt;=0,0,MAX(0,J171-F171))</f>
        <v/>
      </c>
      <c r="L171" s="20">
        <f>IF(D171&lt;=0,0,MAX(0,D171-K171))</f>
        <v/>
      </c>
      <c r="M171" s="21">
        <f>IF(OR(L171&lt;=0,G171&lt;=L171*E171/12),0,MAX(0,ROUNDUP(-LN(1-L171*(E171/12)/G171)/LN(1+E171/12),0)))</f>
        <v/>
      </c>
    </row>
    <row r="172" ht="18" customHeight="1">
      <c r="A172" s="22" t="n">
        <v>170</v>
      </c>
      <c r="B172" s="23">
        <f>IF(C172&lt;=Parametry!$C$6,DATE(Parametry!$C$12+INT((Parametry!$C$13+170-2)/12),MOD(Parametry!$C$13+170-2,12)+1,Parametry!$C$11),"")</f>
        <v/>
      </c>
      <c r="C172" s="24" t="n">
        <v>170</v>
      </c>
      <c r="D172" s="25">
        <f>IF(C172&lt;=Parametry!$C$6,L171,0)</f>
        <v/>
      </c>
      <c r="E172" s="26">
        <f>IF(OR(D172&lt;=0,C172&gt;Parametry!$C$6),0,IF(C172&lt;=Parametry!$C$9,Parametry!$C$8,Parametry!$C$10))</f>
        <v/>
      </c>
      <c r="F172" s="25">
        <f>IF(D172&lt;=0,0,D172*E172/12)</f>
        <v/>
      </c>
      <c r="G172" s="25">
        <f>IF(OR(D172&lt;=0,C172&gt;Parametry!$C$6),0,ROUND(-PMT(E172/12,MAX(1,Parametry!$C$6-C172+1),D172),2))</f>
        <v/>
      </c>
      <c r="H172" s="18" t="n"/>
      <c r="I172" s="19">
        <f>IF(OR(L172&lt;=0,C172&gt;=Parametry!$C$6),0,ROUND(-PMT(IF(C172+1&lt;=Parametry!$C$9,Parametry!$C$8,Parametry!$C$10)/12,MAX(1,Parametry!$C$6-C172),L172),2))</f>
        <v/>
      </c>
      <c r="J172" s="27">
        <f>IF(D172&lt;=0,0,MIN(G172+N(H172),D172+F172))</f>
        <v/>
      </c>
      <c r="K172" s="25">
        <f>IF(J172&lt;=0,0,MAX(0,J172-F172))</f>
        <v/>
      </c>
      <c r="L172" s="27">
        <f>IF(D172&lt;=0,0,MAX(0,D172-K172))</f>
        <v/>
      </c>
      <c r="M172" s="28">
        <f>IF(OR(L172&lt;=0,G172&lt;=L172*E172/12),0,MAX(0,ROUNDUP(-LN(1-L172*(E172/12)/G172)/LN(1+E172/12),0)))</f>
        <v/>
      </c>
    </row>
    <row r="173" ht="18" customHeight="1">
      <c r="A173" s="13" t="n">
        <v>171</v>
      </c>
      <c r="B173" s="14">
        <f>IF(C173&lt;=Parametry!$C$6,DATE(Parametry!$C$12+INT((Parametry!$C$13+171-2)/12),MOD(Parametry!$C$13+171-2,12)+1,Parametry!$C$11),"")</f>
        <v/>
      </c>
      <c r="C173" s="15" t="n">
        <v>171</v>
      </c>
      <c r="D173" s="16">
        <f>IF(C173&lt;=Parametry!$C$6,L172,0)</f>
        <v/>
      </c>
      <c r="E173" s="17">
        <f>IF(OR(D173&lt;=0,C173&gt;Parametry!$C$6),0,IF(C173&lt;=Parametry!$C$9,Parametry!$C$8,Parametry!$C$10))</f>
        <v/>
      </c>
      <c r="F173" s="16">
        <f>IF(D173&lt;=0,0,D173*E173/12)</f>
        <v/>
      </c>
      <c r="G173" s="16">
        <f>IF(OR(D173&lt;=0,C173&gt;Parametry!$C$6),0,ROUND(-PMT(E173/12,MAX(1,Parametry!$C$6-C173+1),D173),2))</f>
        <v/>
      </c>
      <c r="H173" s="18" t="n"/>
      <c r="I173" s="19">
        <f>IF(OR(L173&lt;=0,C173&gt;=Parametry!$C$6),0,ROUND(-PMT(IF(C173+1&lt;=Parametry!$C$9,Parametry!$C$8,Parametry!$C$10)/12,MAX(1,Parametry!$C$6-C173),L173),2))</f>
        <v/>
      </c>
      <c r="J173" s="20">
        <f>IF(D173&lt;=0,0,MIN(G173+N(H173),D173+F173))</f>
        <v/>
      </c>
      <c r="K173" s="16">
        <f>IF(J173&lt;=0,0,MAX(0,J173-F173))</f>
        <v/>
      </c>
      <c r="L173" s="20">
        <f>IF(D173&lt;=0,0,MAX(0,D173-K173))</f>
        <v/>
      </c>
      <c r="M173" s="21">
        <f>IF(OR(L173&lt;=0,G173&lt;=L173*E173/12),0,MAX(0,ROUNDUP(-LN(1-L173*(E173/12)/G173)/LN(1+E173/12),0)))</f>
        <v/>
      </c>
    </row>
    <row r="174" ht="18" customHeight="1">
      <c r="A174" s="22" t="n">
        <v>172</v>
      </c>
      <c r="B174" s="23">
        <f>IF(C174&lt;=Parametry!$C$6,DATE(Parametry!$C$12+INT((Parametry!$C$13+172-2)/12),MOD(Parametry!$C$13+172-2,12)+1,Parametry!$C$11),"")</f>
        <v/>
      </c>
      <c r="C174" s="24" t="n">
        <v>172</v>
      </c>
      <c r="D174" s="25">
        <f>IF(C174&lt;=Parametry!$C$6,L173,0)</f>
        <v/>
      </c>
      <c r="E174" s="26">
        <f>IF(OR(D174&lt;=0,C174&gt;Parametry!$C$6),0,IF(C174&lt;=Parametry!$C$9,Parametry!$C$8,Parametry!$C$10))</f>
        <v/>
      </c>
      <c r="F174" s="25">
        <f>IF(D174&lt;=0,0,D174*E174/12)</f>
        <v/>
      </c>
      <c r="G174" s="25">
        <f>IF(OR(D174&lt;=0,C174&gt;Parametry!$C$6),0,ROUND(-PMT(E174/12,MAX(1,Parametry!$C$6-C174+1),D174),2))</f>
        <v/>
      </c>
      <c r="H174" s="18" t="n"/>
      <c r="I174" s="19">
        <f>IF(OR(L174&lt;=0,C174&gt;=Parametry!$C$6),0,ROUND(-PMT(IF(C174+1&lt;=Parametry!$C$9,Parametry!$C$8,Parametry!$C$10)/12,MAX(1,Parametry!$C$6-C174),L174),2))</f>
        <v/>
      </c>
      <c r="J174" s="27">
        <f>IF(D174&lt;=0,0,MIN(G174+N(H174),D174+F174))</f>
        <v/>
      </c>
      <c r="K174" s="25">
        <f>IF(J174&lt;=0,0,MAX(0,J174-F174))</f>
        <v/>
      </c>
      <c r="L174" s="27">
        <f>IF(D174&lt;=0,0,MAX(0,D174-K174))</f>
        <v/>
      </c>
      <c r="M174" s="28">
        <f>IF(OR(L174&lt;=0,G174&lt;=L174*E174/12),0,MAX(0,ROUNDUP(-LN(1-L174*(E174/12)/G174)/LN(1+E174/12),0)))</f>
        <v/>
      </c>
    </row>
    <row r="175" ht="18" customHeight="1">
      <c r="A175" s="13" t="n">
        <v>173</v>
      </c>
      <c r="B175" s="14">
        <f>IF(C175&lt;=Parametry!$C$6,DATE(Parametry!$C$12+INT((Parametry!$C$13+173-2)/12),MOD(Parametry!$C$13+173-2,12)+1,Parametry!$C$11),"")</f>
        <v/>
      </c>
      <c r="C175" s="15" t="n">
        <v>173</v>
      </c>
      <c r="D175" s="16">
        <f>IF(C175&lt;=Parametry!$C$6,L174,0)</f>
        <v/>
      </c>
      <c r="E175" s="17">
        <f>IF(OR(D175&lt;=0,C175&gt;Parametry!$C$6),0,IF(C175&lt;=Parametry!$C$9,Parametry!$C$8,Parametry!$C$10))</f>
        <v/>
      </c>
      <c r="F175" s="16">
        <f>IF(D175&lt;=0,0,D175*E175/12)</f>
        <v/>
      </c>
      <c r="G175" s="16">
        <f>IF(OR(D175&lt;=0,C175&gt;Parametry!$C$6),0,ROUND(-PMT(E175/12,MAX(1,Parametry!$C$6-C175+1),D175),2))</f>
        <v/>
      </c>
      <c r="H175" s="18" t="n"/>
      <c r="I175" s="19">
        <f>IF(OR(L175&lt;=0,C175&gt;=Parametry!$C$6),0,ROUND(-PMT(IF(C175+1&lt;=Parametry!$C$9,Parametry!$C$8,Parametry!$C$10)/12,MAX(1,Parametry!$C$6-C175),L175),2))</f>
        <v/>
      </c>
      <c r="J175" s="20">
        <f>IF(D175&lt;=0,0,MIN(G175+N(H175),D175+F175))</f>
        <v/>
      </c>
      <c r="K175" s="16">
        <f>IF(J175&lt;=0,0,MAX(0,J175-F175))</f>
        <v/>
      </c>
      <c r="L175" s="20">
        <f>IF(D175&lt;=0,0,MAX(0,D175-K175))</f>
        <v/>
      </c>
      <c r="M175" s="21">
        <f>IF(OR(L175&lt;=0,G175&lt;=L175*E175/12),0,MAX(0,ROUNDUP(-LN(1-L175*(E175/12)/G175)/LN(1+E175/12),0)))</f>
        <v/>
      </c>
    </row>
    <row r="176" ht="18" customHeight="1">
      <c r="A176" s="22" t="n">
        <v>174</v>
      </c>
      <c r="B176" s="23">
        <f>IF(C176&lt;=Parametry!$C$6,DATE(Parametry!$C$12+INT((Parametry!$C$13+174-2)/12),MOD(Parametry!$C$13+174-2,12)+1,Parametry!$C$11),"")</f>
        <v/>
      </c>
      <c r="C176" s="24" t="n">
        <v>174</v>
      </c>
      <c r="D176" s="25">
        <f>IF(C176&lt;=Parametry!$C$6,L175,0)</f>
        <v/>
      </c>
      <c r="E176" s="26">
        <f>IF(OR(D176&lt;=0,C176&gt;Parametry!$C$6),0,IF(C176&lt;=Parametry!$C$9,Parametry!$C$8,Parametry!$C$10))</f>
        <v/>
      </c>
      <c r="F176" s="25">
        <f>IF(D176&lt;=0,0,D176*E176/12)</f>
        <v/>
      </c>
      <c r="G176" s="25">
        <f>IF(OR(D176&lt;=0,C176&gt;Parametry!$C$6),0,ROUND(-PMT(E176/12,MAX(1,Parametry!$C$6-C176+1),D176),2))</f>
        <v/>
      </c>
      <c r="H176" s="18" t="n"/>
      <c r="I176" s="19">
        <f>IF(OR(L176&lt;=0,C176&gt;=Parametry!$C$6),0,ROUND(-PMT(IF(C176+1&lt;=Parametry!$C$9,Parametry!$C$8,Parametry!$C$10)/12,MAX(1,Parametry!$C$6-C176),L176),2))</f>
        <v/>
      </c>
      <c r="J176" s="27">
        <f>IF(D176&lt;=0,0,MIN(G176+N(H176),D176+F176))</f>
        <v/>
      </c>
      <c r="K176" s="25">
        <f>IF(J176&lt;=0,0,MAX(0,J176-F176))</f>
        <v/>
      </c>
      <c r="L176" s="27">
        <f>IF(D176&lt;=0,0,MAX(0,D176-K176))</f>
        <v/>
      </c>
      <c r="M176" s="28">
        <f>IF(OR(L176&lt;=0,G176&lt;=L176*E176/12),0,MAX(0,ROUNDUP(-LN(1-L176*(E176/12)/G176)/LN(1+E176/12),0)))</f>
        <v/>
      </c>
    </row>
    <row r="177" ht="18" customHeight="1">
      <c r="A177" s="13" t="n">
        <v>175</v>
      </c>
      <c r="B177" s="14">
        <f>IF(C177&lt;=Parametry!$C$6,DATE(Parametry!$C$12+INT((Parametry!$C$13+175-2)/12),MOD(Parametry!$C$13+175-2,12)+1,Parametry!$C$11),"")</f>
        <v/>
      </c>
      <c r="C177" s="15" t="n">
        <v>175</v>
      </c>
      <c r="D177" s="16">
        <f>IF(C177&lt;=Parametry!$C$6,L176,0)</f>
        <v/>
      </c>
      <c r="E177" s="17">
        <f>IF(OR(D177&lt;=0,C177&gt;Parametry!$C$6),0,IF(C177&lt;=Parametry!$C$9,Parametry!$C$8,Parametry!$C$10))</f>
        <v/>
      </c>
      <c r="F177" s="16">
        <f>IF(D177&lt;=0,0,D177*E177/12)</f>
        <v/>
      </c>
      <c r="G177" s="16">
        <f>IF(OR(D177&lt;=0,C177&gt;Parametry!$C$6),0,ROUND(-PMT(E177/12,MAX(1,Parametry!$C$6-C177+1),D177),2))</f>
        <v/>
      </c>
      <c r="H177" s="18" t="n"/>
      <c r="I177" s="19">
        <f>IF(OR(L177&lt;=0,C177&gt;=Parametry!$C$6),0,ROUND(-PMT(IF(C177+1&lt;=Parametry!$C$9,Parametry!$C$8,Parametry!$C$10)/12,MAX(1,Parametry!$C$6-C177),L177),2))</f>
        <v/>
      </c>
      <c r="J177" s="20">
        <f>IF(D177&lt;=0,0,MIN(G177+N(H177),D177+F177))</f>
        <v/>
      </c>
      <c r="K177" s="16">
        <f>IF(J177&lt;=0,0,MAX(0,J177-F177))</f>
        <v/>
      </c>
      <c r="L177" s="20">
        <f>IF(D177&lt;=0,0,MAX(0,D177-K177))</f>
        <v/>
      </c>
      <c r="M177" s="21">
        <f>IF(OR(L177&lt;=0,G177&lt;=L177*E177/12),0,MAX(0,ROUNDUP(-LN(1-L177*(E177/12)/G177)/LN(1+E177/12),0)))</f>
        <v/>
      </c>
    </row>
    <row r="178" ht="18" customHeight="1">
      <c r="A178" s="22" t="n">
        <v>176</v>
      </c>
      <c r="B178" s="23">
        <f>IF(C178&lt;=Parametry!$C$6,DATE(Parametry!$C$12+INT((Parametry!$C$13+176-2)/12),MOD(Parametry!$C$13+176-2,12)+1,Parametry!$C$11),"")</f>
        <v/>
      </c>
      <c r="C178" s="24" t="n">
        <v>176</v>
      </c>
      <c r="D178" s="25">
        <f>IF(C178&lt;=Parametry!$C$6,L177,0)</f>
        <v/>
      </c>
      <c r="E178" s="26">
        <f>IF(OR(D178&lt;=0,C178&gt;Parametry!$C$6),0,IF(C178&lt;=Parametry!$C$9,Parametry!$C$8,Parametry!$C$10))</f>
        <v/>
      </c>
      <c r="F178" s="25">
        <f>IF(D178&lt;=0,0,D178*E178/12)</f>
        <v/>
      </c>
      <c r="G178" s="25">
        <f>IF(OR(D178&lt;=0,C178&gt;Parametry!$C$6),0,ROUND(-PMT(E178/12,MAX(1,Parametry!$C$6-C178+1),D178),2))</f>
        <v/>
      </c>
      <c r="H178" s="18" t="n"/>
      <c r="I178" s="19">
        <f>IF(OR(L178&lt;=0,C178&gt;=Parametry!$C$6),0,ROUND(-PMT(IF(C178+1&lt;=Parametry!$C$9,Parametry!$C$8,Parametry!$C$10)/12,MAX(1,Parametry!$C$6-C178),L178),2))</f>
        <v/>
      </c>
      <c r="J178" s="27">
        <f>IF(D178&lt;=0,0,MIN(G178+N(H178),D178+F178))</f>
        <v/>
      </c>
      <c r="K178" s="25">
        <f>IF(J178&lt;=0,0,MAX(0,J178-F178))</f>
        <v/>
      </c>
      <c r="L178" s="27">
        <f>IF(D178&lt;=0,0,MAX(0,D178-K178))</f>
        <v/>
      </c>
      <c r="M178" s="28">
        <f>IF(OR(L178&lt;=0,G178&lt;=L178*E178/12),0,MAX(0,ROUNDUP(-LN(1-L178*(E178/12)/G178)/LN(1+E178/12),0)))</f>
        <v/>
      </c>
    </row>
    <row r="179" ht="18" customHeight="1">
      <c r="A179" s="13" t="n">
        <v>177</v>
      </c>
      <c r="B179" s="14">
        <f>IF(C179&lt;=Parametry!$C$6,DATE(Parametry!$C$12+INT((Parametry!$C$13+177-2)/12),MOD(Parametry!$C$13+177-2,12)+1,Parametry!$C$11),"")</f>
        <v/>
      </c>
      <c r="C179" s="15" t="n">
        <v>177</v>
      </c>
      <c r="D179" s="16">
        <f>IF(C179&lt;=Parametry!$C$6,L178,0)</f>
        <v/>
      </c>
      <c r="E179" s="17">
        <f>IF(OR(D179&lt;=0,C179&gt;Parametry!$C$6),0,IF(C179&lt;=Parametry!$C$9,Parametry!$C$8,Parametry!$C$10))</f>
        <v/>
      </c>
      <c r="F179" s="16">
        <f>IF(D179&lt;=0,0,D179*E179/12)</f>
        <v/>
      </c>
      <c r="G179" s="16">
        <f>IF(OR(D179&lt;=0,C179&gt;Parametry!$C$6),0,ROUND(-PMT(E179/12,MAX(1,Parametry!$C$6-C179+1),D179),2))</f>
        <v/>
      </c>
      <c r="H179" s="18" t="n"/>
      <c r="I179" s="19">
        <f>IF(OR(L179&lt;=0,C179&gt;=Parametry!$C$6),0,ROUND(-PMT(IF(C179+1&lt;=Parametry!$C$9,Parametry!$C$8,Parametry!$C$10)/12,MAX(1,Parametry!$C$6-C179),L179),2))</f>
        <v/>
      </c>
      <c r="J179" s="20">
        <f>IF(D179&lt;=0,0,MIN(G179+N(H179),D179+F179))</f>
        <v/>
      </c>
      <c r="K179" s="16">
        <f>IF(J179&lt;=0,0,MAX(0,J179-F179))</f>
        <v/>
      </c>
      <c r="L179" s="20">
        <f>IF(D179&lt;=0,0,MAX(0,D179-K179))</f>
        <v/>
      </c>
      <c r="M179" s="21">
        <f>IF(OR(L179&lt;=0,G179&lt;=L179*E179/12),0,MAX(0,ROUNDUP(-LN(1-L179*(E179/12)/G179)/LN(1+E179/12),0)))</f>
        <v/>
      </c>
    </row>
    <row r="180" ht="18" customHeight="1">
      <c r="A180" s="22" t="n">
        <v>178</v>
      </c>
      <c r="B180" s="23">
        <f>IF(C180&lt;=Parametry!$C$6,DATE(Parametry!$C$12+INT((Parametry!$C$13+178-2)/12),MOD(Parametry!$C$13+178-2,12)+1,Parametry!$C$11),"")</f>
        <v/>
      </c>
      <c r="C180" s="24" t="n">
        <v>178</v>
      </c>
      <c r="D180" s="25">
        <f>IF(C180&lt;=Parametry!$C$6,L179,0)</f>
        <v/>
      </c>
      <c r="E180" s="26">
        <f>IF(OR(D180&lt;=0,C180&gt;Parametry!$C$6),0,IF(C180&lt;=Parametry!$C$9,Parametry!$C$8,Parametry!$C$10))</f>
        <v/>
      </c>
      <c r="F180" s="25">
        <f>IF(D180&lt;=0,0,D180*E180/12)</f>
        <v/>
      </c>
      <c r="G180" s="25">
        <f>IF(OR(D180&lt;=0,C180&gt;Parametry!$C$6),0,ROUND(-PMT(E180/12,MAX(1,Parametry!$C$6-C180+1),D180),2))</f>
        <v/>
      </c>
      <c r="H180" s="18" t="n"/>
      <c r="I180" s="19">
        <f>IF(OR(L180&lt;=0,C180&gt;=Parametry!$C$6),0,ROUND(-PMT(IF(C180+1&lt;=Parametry!$C$9,Parametry!$C$8,Parametry!$C$10)/12,MAX(1,Parametry!$C$6-C180),L180),2))</f>
        <v/>
      </c>
      <c r="J180" s="27">
        <f>IF(D180&lt;=0,0,MIN(G180+N(H180),D180+F180))</f>
        <v/>
      </c>
      <c r="K180" s="25">
        <f>IF(J180&lt;=0,0,MAX(0,J180-F180))</f>
        <v/>
      </c>
      <c r="L180" s="27">
        <f>IF(D180&lt;=0,0,MAX(0,D180-K180))</f>
        <v/>
      </c>
      <c r="M180" s="28">
        <f>IF(OR(L180&lt;=0,G180&lt;=L180*E180/12),0,MAX(0,ROUNDUP(-LN(1-L180*(E180/12)/G180)/LN(1+E180/12),0)))</f>
        <v/>
      </c>
    </row>
    <row r="181" ht="18" customHeight="1">
      <c r="A181" s="13" t="n">
        <v>179</v>
      </c>
      <c r="B181" s="14">
        <f>IF(C181&lt;=Parametry!$C$6,DATE(Parametry!$C$12+INT((Parametry!$C$13+179-2)/12),MOD(Parametry!$C$13+179-2,12)+1,Parametry!$C$11),"")</f>
        <v/>
      </c>
      <c r="C181" s="15" t="n">
        <v>179</v>
      </c>
      <c r="D181" s="16">
        <f>IF(C181&lt;=Parametry!$C$6,L180,0)</f>
        <v/>
      </c>
      <c r="E181" s="17">
        <f>IF(OR(D181&lt;=0,C181&gt;Parametry!$C$6),0,IF(C181&lt;=Parametry!$C$9,Parametry!$C$8,Parametry!$C$10))</f>
        <v/>
      </c>
      <c r="F181" s="16">
        <f>IF(D181&lt;=0,0,D181*E181/12)</f>
        <v/>
      </c>
      <c r="G181" s="16">
        <f>IF(OR(D181&lt;=0,C181&gt;Parametry!$C$6),0,ROUND(-PMT(E181/12,MAX(1,Parametry!$C$6-C181+1),D181),2))</f>
        <v/>
      </c>
      <c r="H181" s="18" t="n"/>
      <c r="I181" s="19">
        <f>IF(OR(L181&lt;=0,C181&gt;=Parametry!$C$6),0,ROUND(-PMT(IF(C181+1&lt;=Parametry!$C$9,Parametry!$C$8,Parametry!$C$10)/12,MAX(1,Parametry!$C$6-C181),L181),2))</f>
        <v/>
      </c>
      <c r="J181" s="20">
        <f>IF(D181&lt;=0,0,MIN(G181+N(H181),D181+F181))</f>
        <v/>
      </c>
      <c r="K181" s="16">
        <f>IF(J181&lt;=0,0,MAX(0,J181-F181))</f>
        <v/>
      </c>
      <c r="L181" s="20">
        <f>IF(D181&lt;=0,0,MAX(0,D181-K181))</f>
        <v/>
      </c>
      <c r="M181" s="21">
        <f>IF(OR(L181&lt;=0,G181&lt;=L181*E181/12),0,MAX(0,ROUNDUP(-LN(1-L181*(E181/12)/G181)/LN(1+E181/12),0)))</f>
        <v/>
      </c>
    </row>
    <row r="182" ht="18" customHeight="1">
      <c r="A182" s="22" t="n">
        <v>180</v>
      </c>
      <c r="B182" s="23">
        <f>IF(C182&lt;=Parametry!$C$6,DATE(Parametry!$C$12+INT((Parametry!$C$13+180-2)/12),MOD(Parametry!$C$13+180-2,12)+1,Parametry!$C$11),"")</f>
        <v/>
      </c>
      <c r="C182" s="24" t="n">
        <v>180</v>
      </c>
      <c r="D182" s="25">
        <f>IF(C182&lt;=Parametry!$C$6,L181,0)</f>
        <v/>
      </c>
      <c r="E182" s="26">
        <f>IF(OR(D182&lt;=0,C182&gt;Parametry!$C$6),0,IF(C182&lt;=Parametry!$C$9,Parametry!$C$8,Parametry!$C$10))</f>
        <v/>
      </c>
      <c r="F182" s="25">
        <f>IF(D182&lt;=0,0,D182*E182/12)</f>
        <v/>
      </c>
      <c r="G182" s="25">
        <f>IF(OR(D182&lt;=0,C182&gt;Parametry!$C$6),0,ROUND(-PMT(E182/12,MAX(1,Parametry!$C$6-C182+1),D182),2))</f>
        <v/>
      </c>
      <c r="H182" s="18" t="n"/>
      <c r="I182" s="19">
        <f>IF(OR(L182&lt;=0,C182&gt;=Parametry!$C$6),0,ROUND(-PMT(IF(C182+1&lt;=Parametry!$C$9,Parametry!$C$8,Parametry!$C$10)/12,MAX(1,Parametry!$C$6-C182),L182),2))</f>
        <v/>
      </c>
      <c r="J182" s="27">
        <f>IF(D182&lt;=0,0,MIN(G182+N(H182),D182+F182))</f>
        <v/>
      </c>
      <c r="K182" s="25">
        <f>IF(J182&lt;=0,0,MAX(0,J182-F182))</f>
        <v/>
      </c>
      <c r="L182" s="27">
        <f>IF(D182&lt;=0,0,MAX(0,D182-K182))</f>
        <v/>
      </c>
      <c r="M182" s="28">
        <f>IF(OR(L182&lt;=0,G182&lt;=L182*E182/12),0,MAX(0,ROUNDUP(-LN(1-L182*(E182/12)/G182)/LN(1+E182/12),0)))</f>
        <v/>
      </c>
    </row>
    <row r="183" ht="18" customHeight="1">
      <c r="A183" s="13" t="n">
        <v>181</v>
      </c>
      <c r="B183" s="14">
        <f>IF(C183&lt;=Parametry!$C$6,DATE(Parametry!$C$12+INT((Parametry!$C$13+181-2)/12),MOD(Parametry!$C$13+181-2,12)+1,Parametry!$C$11),"")</f>
        <v/>
      </c>
      <c r="C183" s="15" t="n">
        <v>181</v>
      </c>
      <c r="D183" s="16">
        <f>IF(C183&lt;=Parametry!$C$6,L182,0)</f>
        <v/>
      </c>
      <c r="E183" s="17">
        <f>IF(OR(D183&lt;=0,C183&gt;Parametry!$C$6),0,IF(C183&lt;=Parametry!$C$9,Parametry!$C$8,Parametry!$C$10))</f>
        <v/>
      </c>
      <c r="F183" s="16">
        <f>IF(D183&lt;=0,0,D183*E183/12)</f>
        <v/>
      </c>
      <c r="G183" s="16">
        <f>IF(OR(D183&lt;=0,C183&gt;Parametry!$C$6),0,ROUND(-PMT(E183/12,MAX(1,Parametry!$C$6-C183+1),D183),2))</f>
        <v/>
      </c>
      <c r="H183" s="18" t="n"/>
      <c r="I183" s="19">
        <f>IF(OR(L183&lt;=0,C183&gt;=Parametry!$C$6),0,ROUND(-PMT(IF(C183+1&lt;=Parametry!$C$9,Parametry!$C$8,Parametry!$C$10)/12,MAX(1,Parametry!$C$6-C183),L183),2))</f>
        <v/>
      </c>
      <c r="J183" s="20">
        <f>IF(D183&lt;=0,0,MIN(G183+N(H183),D183+F183))</f>
        <v/>
      </c>
      <c r="K183" s="16">
        <f>IF(J183&lt;=0,0,MAX(0,J183-F183))</f>
        <v/>
      </c>
      <c r="L183" s="20">
        <f>IF(D183&lt;=0,0,MAX(0,D183-K183))</f>
        <v/>
      </c>
      <c r="M183" s="21">
        <f>IF(OR(L183&lt;=0,G183&lt;=L183*E183/12),0,MAX(0,ROUNDUP(-LN(1-L183*(E183/12)/G183)/LN(1+E183/12),0)))</f>
        <v/>
      </c>
    </row>
    <row r="184" ht="18" customHeight="1">
      <c r="A184" s="22" t="n">
        <v>182</v>
      </c>
      <c r="B184" s="23">
        <f>IF(C184&lt;=Parametry!$C$6,DATE(Parametry!$C$12+INT((Parametry!$C$13+182-2)/12),MOD(Parametry!$C$13+182-2,12)+1,Parametry!$C$11),"")</f>
        <v/>
      </c>
      <c r="C184" s="24" t="n">
        <v>182</v>
      </c>
      <c r="D184" s="25">
        <f>IF(C184&lt;=Parametry!$C$6,L183,0)</f>
        <v/>
      </c>
      <c r="E184" s="26">
        <f>IF(OR(D184&lt;=0,C184&gt;Parametry!$C$6),0,IF(C184&lt;=Parametry!$C$9,Parametry!$C$8,Parametry!$C$10))</f>
        <v/>
      </c>
      <c r="F184" s="25">
        <f>IF(D184&lt;=0,0,D184*E184/12)</f>
        <v/>
      </c>
      <c r="G184" s="25">
        <f>IF(OR(D184&lt;=0,C184&gt;Parametry!$C$6),0,ROUND(-PMT(E184/12,MAX(1,Parametry!$C$6-C184+1),D184),2))</f>
        <v/>
      </c>
      <c r="H184" s="18" t="n"/>
      <c r="I184" s="19">
        <f>IF(OR(L184&lt;=0,C184&gt;=Parametry!$C$6),0,ROUND(-PMT(IF(C184+1&lt;=Parametry!$C$9,Parametry!$C$8,Parametry!$C$10)/12,MAX(1,Parametry!$C$6-C184),L184),2))</f>
        <v/>
      </c>
      <c r="J184" s="27">
        <f>IF(D184&lt;=0,0,MIN(G184+N(H184),D184+F184))</f>
        <v/>
      </c>
      <c r="K184" s="25">
        <f>IF(J184&lt;=0,0,MAX(0,J184-F184))</f>
        <v/>
      </c>
      <c r="L184" s="27">
        <f>IF(D184&lt;=0,0,MAX(0,D184-K184))</f>
        <v/>
      </c>
      <c r="M184" s="28">
        <f>IF(OR(L184&lt;=0,G184&lt;=L184*E184/12),0,MAX(0,ROUNDUP(-LN(1-L184*(E184/12)/G184)/LN(1+E184/12),0)))</f>
        <v/>
      </c>
    </row>
    <row r="185" ht="18" customHeight="1">
      <c r="A185" s="13" t="n">
        <v>183</v>
      </c>
      <c r="B185" s="14">
        <f>IF(C185&lt;=Parametry!$C$6,DATE(Parametry!$C$12+INT((Parametry!$C$13+183-2)/12),MOD(Parametry!$C$13+183-2,12)+1,Parametry!$C$11),"")</f>
        <v/>
      </c>
      <c r="C185" s="15" t="n">
        <v>183</v>
      </c>
      <c r="D185" s="16">
        <f>IF(C185&lt;=Parametry!$C$6,L184,0)</f>
        <v/>
      </c>
      <c r="E185" s="17">
        <f>IF(OR(D185&lt;=0,C185&gt;Parametry!$C$6),0,IF(C185&lt;=Parametry!$C$9,Parametry!$C$8,Parametry!$C$10))</f>
        <v/>
      </c>
      <c r="F185" s="16">
        <f>IF(D185&lt;=0,0,D185*E185/12)</f>
        <v/>
      </c>
      <c r="G185" s="16">
        <f>IF(OR(D185&lt;=0,C185&gt;Parametry!$C$6),0,ROUND(-PMT(E185/12,MAX(1,Parametry!$C$6-C185+1),D185),2))</f>
        <v/>
      </c>
      <c r="H185" s="18" t="n"/>
      <c r="I185" s="19">
        <f>IF(OR(L185&lt;=0,C185&gt;=Parametry!$C$6),0,ROUND(-PMT(IF(C185+1&lt;=Parametry!$C$9,Parametry!$C$8,Parametry!$C$10)/12,MAX(1,Parametry!$C$6-C185),L185),2))</f>
        <v/>
      </c>
      <c r="J185" s="20">
        <f>IF(D185&lt;=0,0,MIN(G185+N(H185),D185+F185))</f>
        <v/>
      </c>
      <c r="K185" s="16">
        <f>IF(J185&lt;=0,0,MAX(0,J185-F185))</f>
        <v/>
      </c>
      <c r="L185" s="20">
        <f>IF(D185&lt;=0,0,MAX(0,D185-K185))</f>
        <v/>
      </c>
      <c r="M185" s="21">
        <f>IF(OR(L185&lt;=0,G185&lt;=L185*E185/12),0,MAX(0,ROUNDUP(-LN(1-L185*(E185/12)/G185)/LN(1+E185/12),0)))</f>
        <v/>
      </c>
    </row>
    <row r="186" ht="18" customHeight="1">
      <c r="A186" s="22" t="n">
        <v>184</v>
      </c>
      <c r="B186" s="23">
        <f>IF(C186&lt;=Parametry!$C$6,DATE(Parametry!$C$12+INT((Parametry!$C$13+184-2)/12),MOD(Parametry!$C$13+184-2,12)+1,Parametry!$C$11),"")</f>
        <v/>
      </c>
      <c r="C186" s="24" t="n">
        <v>184</v>
      </c>
      <c r="D186" s="25">
        <f>IF(C186&lt;=Parametry!$C$6,L185,0)</f>
        <v/>
      </c>
      <c r="E186" s="26">
        <f>IF(OR(D186&lt;=0,C186&gt;Parametry!$C$6),0,IF(C186&lt;=Parametry!$C$9,Parametry!$C$8,Parametry!$C$10))</f>
        <v/>
      </c>
      <c r="F186" s="25">
        <f>IF(D186&lt;=0,0,D186*E186/12)</f>
        <v/>
      </c>
      <c r="G186" s="25">
        <f>IF(OR(D186&lt;=0,C186&gt;Parametry!$C$6),0,ROUND(-PMT(E186/12,MAX(1,Parametry!$C$6-C186+1),D186),2))</f>
        <v/>
      </c>
      <c r="H186" s="18" t="n"/>
      <c r="I186" s="19">
        <f>IF(OR(L186&lt;=0,C186&gt;=Parametry!$C$6),0,ROUND(-PMT(IF(C186+1&lt;=Parametry!$C$9,Parametry!$C$8,Parametry!$C$10)/12,MAX(1,Parametry!$C$6-C186),L186),2))</f>
        <v/>
      </c>
      <c r="J186" s="27">
        <f>IF(D186&lt;=0,0,MIN(G186+N(H186),D186+F186))</f>
        <v/>
      </c>
      <c r="K186" s="25">
        <f>IF(J186&lt;=0,0,MAX(0,J186-F186))</f>
        <v/>
      </c>
      <c r="L186" s="27">
        <f>IF(D186&lt;=0,0,MAX(0,D186-K186))</f>
        <v/>
      </c>
      <c r="M186" s="28">
        <f>IF(OR(L186&lt;=0,G186&lt;=L186*E186/12),0,MAX(0,ROUNDUP(-LN(1-L186*(E186/12)/G186)/LN(1+E186/12),0)))</f>
        <v/>
      </c>
    </row>
    <row r="187" ht="18" customHeight="1">
      <c r="A187" s="13" t="n">
        <v>185</v>
      </c>
      <c r="B187" s="14">
        <f>IF(C187&lt;=Parametry!$C$6,DATE(Parametry!$C$12+INT((Parametry!$C$13+185-2)/12),MOD(Parametry!$C$13+185-2,12)+1,Parametry!$C$11),"")</f>
        <v/>
      </c>
      <c r="C187" s="15" t="n">
        <v>185</v>
      </c>
      <c r="D187" s="16">
        <f>IF(C187&lt;=Parametry!$C$6,L186,0)</f>
        <v/>
      </c>
      <c r="E187" s="17">
        <f>IF(OR(D187&lt;=0,C187&gt;Parametry!$C$6),0,IF(C187&lt;=Parametry!$C$9,Parametry!$C$8,Parametry!$C$10))</f>
        <v/>
      </c>
      <c r="F187" s="16">
        <f>IF(D187&lt;=0,0,D187*E187/12)</f>
        <v/>
      </c>
      <c r="G187" s="16">
        <f>IF(OR(D187&lt;=0,C187&gt;Parametry!$C$6),0,ROUND(-PMT(E187/12,MAX(1,Parametry!$C$6-C187+1),D187),2))</f>
        <v/>
      </c>
      <c r="H187" s="18" t="n"/>
      <c r="I187" s="19">
        <f>IF(OR(L187&lt;=0,C187&gt;=Parametry!$C$6),0,ROUND(-PMT(IF(C187+1&lt;=Parametry!$C$9,Parametry!$C$8,Parametry!$C$10)/12,MAX(1,Parametry!$C$6-C187),L187),2))</f>
        <v/>
      </c>
      <c r="J187" s="20">
        <f>IF(D187&lt;=0,0,MIN(G187+N(H187),D187+F187))</f>
        <v/>
      </c>
      <c r="K187" s="16">
        <f>IF(J187&lt;=0,0,MAX(0,J187-F187))</f>
        <v/>
      </c>
      <c r="L187" s="20">
        <f>IF(D187&lt;=0,0,MAX(0,D187-K187))</f>
        <v/>
      </c>
      <c r="M187" s="21">
        <f>IF(OR(L187&lt;=0,G187&lt;=L187*E187/12),0,MAX(0,ROUNDUP(-LN(1-L187*(E187/12)/G187)/LN(1+E187/12),0)))</f>
        <v/>
      </c>
    </row>
    <row r="188" ht="18" customHeight="1">
      <c r="A188" s="22" t="n">
        <v>186</v>
      </c>
      <c r="B188" s="23">
        <f>IF(C188&lt;=Parametry!$C$6,DATE(Parametry!$C$12+INT((Parametry!$C$13+186-2)/12),MOD(Parametry!$C$13+186-2,12)+1,Parametry!$C$11),"")</f>
        <v/>
      </c>
      <c r="C188" s="24" t="n">
        <v>186</v>
      </c>
      <c r="D188" s="25">
        <f>IF(C188&lt;=Parametry!$C$6,L187,0)</f>
        <v/>
      </c>
      <c r="E188" s="26">
        <f>IF(OR(D188&lt;=0,C188&gt;Parametry!$C$6),0,IF(C188&lt;=Parametry!$C$9,Parametry!$C$8,Parametry!$C$10))</f>
        <v/>
      </c>
      <c r="F188" s="25">
        <f>IF(D188&lt;=0,0,D188*E188/12)</f>
        <v/>
      </c>
      <c r="G188" s="25">
        <f>IF(OR(D188&lt;=0,C188&gt;Parametry!$C$6),0,ROUND(-PMT(E188/12,MAX(1,Parametry!$C$6-C188+1),D188),2))</f>
        <v/>
      </c>
      <c r="H188" s="18" t="n"/>
      <c r="I188" s="19">
        <f>IF(OR(L188&lt;=0,C188&gt;=Parametry!$C$6),0,ROUND(-PMT(IF(C188+1&lt;=Parametry!$C$9,Parametry!$C$8,Parametry!$C$10)/12,MAX(1,Parametry!$C$6-C188),L188),2))</f>
        <v/>
      </c>
      <c r="J188" s="27">
        <f>IF(D188&lt;=0,0,MIN(G188+N(H188),D188+F188))</f>
        <v/>
      </c>
      <c r="K188" s="25">
        <f>IF(J188&lt;=0,0,MAX(0,J188-F188))</f>
        <v/>
      </c>
      <c r="L188" s="27">
        <f>IF(D188&lt;=0,0,MAX(0,D188-K188))</f>
        <v/>
      </c>
      <c r="M188" s="28">
        <f>IF(OR(L188&lt;=0,G188&lt;=L188*E188/12),0,MAX(0,ROUNDUP(-LN(1-L188*(E188/12)/G188)/LN(1+E188/12),0)))</f>
        <v/>
      </c>
    </row>
    <row r="189" ht="18" customHeight="1">
      <c r="A189" s="13" t="n">
        <v>187</v>
      </c>
      <c r="B189" s="14">
        <f>IF(C189&lt;=Parametry!$C$6,DATE(Parametry!$C$12+INT((Parametry!$C$13+187-2)/12),MOD(Parametry!$C$13+187-2,12)+1,Parametry!$C$11),"")</f>
        <v/>
      </c>
      <c r="C189" s="15" t="n">
        <v>187</v>
      </c>
      <c r="D189" s="16">
        <f>IF(C189&lt;=Parametry!$C$6,L188,0)</f>
        <v/>
      </c>
      <c r="E189" s="17">
        <f>IF(OR(D189&lt;=0,C189&gt;Parametry!$C$6),0,IF(C189&lt;=Parametry!$C$9,Parametry!$C$8,Parametry!$C$10))</f>
        <v/>
      </c>
      <c r="F189" s="16">
        <f>IF(D189&lt;=0,0,D189*E189/12)</f>
        <v/>
      </c>
      <c r="G189" s="16">
        <f>IF(OR(D189&lt;=0,C189&gt;Parametry!$C$6),0,ROUND(-PMT(E189/12,MAX(1,Parametry!$C$6-C189+1),D189),2))</f>
        <v/>
      </c>
      <c r="H189" s="18" t="n"/>
      <c r="I189" s="19">
        <f>IF(OR(L189&lt;=0,C189&gt;=Parametry!$C$6),0,ROUND(-PMT(IF(C189+1&lt;=Parametry!$C$9,Parametry!$C$8,Parametry!$C$10)/12,MAX(1,Parametry!$C$6-C189),L189),2))</f>
        <v/>
      </c>
      <c r="J189" s="20">
        <f>IF(D189&lt;=0,0,MIN(G189+N(H189),D189+F189))</f>
        <v/>
      </c>
      <c r="K189" s="16">
        <f>IF(J189&lt;=0,0,MAX(0,J189-F189))</f>
        <v/>
      </c>
      <c r="L189" s="20">
        <f>IF(D189&lt;=0,0,MAX(0,D189-K189))</f>
        <v/>
      </c>
      <c r="M189" s="21">
        <f>IF(OR(L189&lt;=0,G189&lt;=L189*E189/12),0,MAX(0,ROUNDUP(-LN(1-L189*(E189/12)/G189)/LN(1+E189/12),0)))</f>
        <v/>
      </c>
    </row>
    <row r="190" ht="18" customHeight="1">
      <c r="A190" s="22" t="n">
        <v>188</v>
      </c>
      <c r="B190" s="23">
        <f>IF(C190&lt;=Parametry!$C$6,DATE(Parametry!$C$12+INT((Parametry!$C$13+188-2)/12),MOD(Parametry!$C$13+188-2,12)+1,Parametry!$C$11),"")</f>
        <v/>
      </c>
      <c r="C190" s="24" t="n">
        <v>188</v>
      </c>
      <c r="D190" s="25">
        <f>IF(C190&lt;=Parametry!$C$6,L189,0)</f>
        <v/>
      </c>
      <c r="E190" s="26">
        <f>IF(OR(D190&lt;=0,C190&gt;Parametry!$C$6),0,IF(C190&lt;=Parametry!$C$9,Parametry!$C$8,Parametry!$C$10))</f>
        <v/>
      </c>
      <c r="F190" s="25">
        <f>IF(D190&lt;=0,0,D190*E190/12)</f>
        <v/>
      </c>
      <c r="G190" s="25">
        <f>IF(OR(D190&lt;=0,C190&gt;Parametry!$C$6),0,ROUND(-PMT(E190/12,MAX(1,Parametry!$C$6-C190+1),D190),2))</f>
        <v/>
      </c>
      <c r="H190" s="18" t="n"/>
      <c r="I190" s="19">
        <f>IF(OR(L190&lt;=0,C190&gt;=Parametry!$C$6),0,ROUND(-PMT(IF(C190+1&lt;=Parametry!$C$9,Parametry!$C$8,Parametry!$C$10)/12,MAX(1,Parametry!$C$6-C190),L190),2))</f>
        <v/>
      </c>
      <c r="J190" s="27">
        <f>IF(D190&lt;=0,0,MIN(G190+N(H190),D190+F190))</f>
        <v/>
      </c>
      <c r="K190" s="25">
        <f>IF(J190&lt;=0,0,MAX(0,J190-F190))</f>
        <v/>
      </c>
      <c r="L190" s="27">
        <f>IF(D190&lt;=0,0,MAX(0,D190-K190))</f>
        <v/>
      </c>
      <c r="M190" s="28">
        <f>IF(OR(L190&lt;=0,G190&lt;=L190*E190/12),0,MAX(0,ROUNDUP(-LN(1-L190*(E190/12)/G190)/LN(1+E190/12),0)))</f>
        <v/>
      </c>
    </row>
    <row r="191" ht="18" customHeight="1">
      <c r="A191" s="13" t="n">
        <v>189</v>
      </c>
      <c r="B191" s="14">
        <f>IF(C191&lt;=Parametry!$C$6,DATE(Parametry!$C$12+INT((Parametry!$C$13+189-2)/12),MOD(Parametry!$C$13+189-2,12)+1,Parametry!$C$11),"")</f>
        <v/>
      </c>
      <c r="C191" s="15" t="n">
        <v>189</v>
      </c>
      <c r="D191" s="16">
        <f>IF(C191&lt;=Parametry!$C$6,L190,0)</f>
        <v/>
      </c>
      <c r="E191" s="17">
        <f>IF(OR(D191&lt;=0,C191&gt;Parametry!$C$6),0,IF(C191&lt;=Parametry!$C$9,Parametry!$C$8,Parametry!$C$10))</f>
        <v/>
      </c>
      <c r="F191" s="16">
        <f>IF(D191&lt;=0,0,D191*E191/12)</f>
        <v/>
      </c>
      <c r="G191" s="16">
        <f>IF(OR(D191&lt;=0,C191&gt;Parametry!$C$6),0,ROUND(-PMT(E191/12,MAX(1,Parametry!$C$6-C191+1),D191),2))</f>
        <v/>
      </c>
      <c r="H191" s="18" t="n"/>
      <c r="I191" s="19">
        <f>IF(OR(L191&lt;=0,C191&gt;=Parametry!$C$6),0,ROUND(-PMT(IF(C191+1&lt;=Parametry!$C$9,Parametry!$C$8,Parametry!$C$10)/12,MAX(1,Parametry!$C$6-C191),L191),2))</f>
        <v/>
      </c>
      <c r="J191" s="20">
        <f>IF(D191&lt;=0,0,MIN(G191+N(H191),D191+F191))</f>
        <v/>
      </c>
      <c r="K191" s="16">
        <f>IF(J191&lt;=0,0,MAX(0,J191-F191))</f>
        <v/>
      </c>
      <c r="L191" s="20">
        <f>IF(D191&lt;=0,0,MAX(0,D191-K191))</f>
        <v/>
      </c>
      <c r="M191" s="21">
        <f>IF(OR(L191&lt;=0,G191&lt;=L191*E191/12),0,MAX(0,ROUNDUP(-LN(1-L191*(E191/12)/G191)/LN(1+E191/12),0)))</f>
        <v/>
      </c>
    </row>
    <row r="192" ht="18" customHeight="1">
      <c r="A192" s="22" t="n">
        <v>190</v>
      </c>
      <c r="B192" s="23">
        <f>IF(C192&lt;=Parametry!$C$6,DATE(Parametry!$C$12+INT((Parametry!$C$13+190-2)/12),MOD(Parametry!$C$13+190-2,12)+1,Parametry!$C$11),"")</f>
        <v/>
      </c>
      <c r="C192" s="24" t="n">
        <v>190</v>
      </c>
      <c r="D192" s="25">
        <f>IF(C192&lt;=Parametry!$C$6,L191,0)</f>
        <v/>
      </c>
      <c r="E192" s="26">
        <f>IF(OR(D192&lt;=0,C192&gt;Parametry!$C$6),0,IF(C192&lt;=Parametry!$C$9,Parametry!$C$8,Parametry!$C$10))</f>
        <v/>
      </c>
      <c r="F192" s="25">
        <f>IF(D192&lt;=0,0,D192*E192/12)</f>
        <v/>
      </c>
      <c r="G192" s="25">
        <f>IF(OR(D192&lt;=0,C192&gt;Parametry!$C$6),0,ROUND(-PMT(E192/12,MAX(1,Parametry!$C$6-C192+1),D192),2))</f>
        <v/>
      </c>
      <c r="H192" s="18" t="n"/>
      <c r="I192" s="19">
        <f>IF(OR(L192&lt;=0,C192&gt;=Parametry!$C$6),0,ROUND(-PMT(IF(C192+1&lt;=Parametry!$C$9,Parametry!$C$8,Parametry!$C$10)/12,MAX(1,Parametry!$C$6-C192),L192),2))</f>
        <v/>
      </c>
      <c r="J192" s="27">
        <f>IF(D192&lt;=0,0,MIN(G192+N(H192),D192+F192))</f>
        <v/>
      </c>
      <c r="K192" s="25">
        <f>IF(J192&lt;=0,0,MAX(0,J192-F192))</f>
        <v/>
      </c>
      <c r="L192" s="27">
        <f>IF(D192&lt;=0,0,MAX(0,D192-K192))</f>
        <v/>
      </c>
      <c r="M192" s="28">
        <f>IF(OR(L192&lt;=0,G192&lt;=L192*E192/12),0,MAX(0,ROUNDUP(-LN(1-L192*(E192/12)/G192)/LN(1+E192/12),0)))</f>
        <v/>
      </c>
    </row>
    <row r="193" ht="18" customHeight="1">
      <c r="A193" s="13" t="n">
        <v>191</v>
      </c>
      <c r="B193" s="14">
        <f>IF(C193&lt;=Parametry!$C$6,DATE(Parametry!$C$12+INT((Parametry!$C$13+191-2)/12),MOD(Parametry!$C$13+191-2,12)+1,Parametry!$C$11),"")</f>
        <v/>
      </c>
      <c r="C193" s="15" t="n">
        <v>191</v>
      </c>
      <c r="D193" s="16">
        <f>IF(C193&lt;=Parametry!$C$6,L192,0)</f>
        <v/>
      </c>
      <c r="E193" s="17">
        <f>IF(OR(D193&lt;=0,C193&gt;Parametry!$C$6),0,IF(C193&lt;=Parametry!$C$9,Parametry!$C$8,Parametry!$C$10))</f>
        <v/>
      </c>
      <c r="F193" s="16">
        <f>IF(D193&lt;=0,0,D193*E193/12)</f>
        <v/>
      </c>
      <c r="G193" s="16">
        <f>IF(OR(D193&lt;=0,C193&gt;Parametry!$C$6),0,ROUND(-PMT(E193/12,MAX(1,Parametry!$C$6-C193+1),D193),2))</f>
        <v/>
      </c>
      <c r="H193" s="18" t="n"/>
      <c r="I193" s="19">
        <f>IF(OR(L193&lt;=0,C193&gt;=Parametry!$C$6),0,ROUND(-PMT(IF(C193+1&lt;=Parametry!$C$9,Parametry!$C$8,Parametry!$C$10)/12,MAX(1,Parametry!$C$6-C193),L193),2))</f>
        <v/>
      </c>
      <c r="J193" s="20">
        <f>IF(D193&lt;=0,0,MIN(G193+N(H193),D193+F193))</f>
        <v/>
      </c>
      <c r="K193" s="16">
        <f>IF(J193&lt;=0,0,MAX(0,J193-F193))</f>
        <v/>
      </c>
      <c r="L193" s="20">
        <f>IF(D193&lt;=0,0,MAX(0,D193-K193))</f>
        <v/>
      </c>
      <c r="M193" s="21">
        <f>IF(OR(L193&lt;=0,G193&lt;=L193*E193/12),0,MAX(0,ROUNDUP(-LN(1-L193*(E193/12)/G193)/LN(1+E193/12),0)))</f>
        <v/>
      </c>
    </row>
    <row r="194" ht="18" customHeight="1">
      <c r="A194" s="22" t="n">
        <v>192</v>
      </c>
      <c r="B194" s="23">
        <f>IF(C194&lt;=Parametry!$C$6,DATE(Parametry!$C$12+INT((Parametry!$C$13+192-2)/12),MOD(Parametry!$C$13+192-2,12)+1,Parametry!$C$11),"")</f>
        <v/>
      </c>
      <c r="C194" s="24" t="n">
        <v>192</v>
      </c>
      <c r="D194" s="25">
        <f>IF(C194&lt;=Parametry!$C$6,L193,0)</f>
        <v/>
      </c>
      <c r="E194" s="26">
        <f>IF(OR(D194&lt;=0,C194&gt;Parametry!$C$6),0,IF(C194&lt;=Parametry!$C$9,Parametry!$C$8,Parametry!$C$10))</f>
        <v/>
      </c>
      <c r="F194" s="25">
        <f>IF(D194&lt;=0,0,D194*E194/12)</f>
        <v/>
      </c>
      <c r="G194" s="25">
        <f>IF(OR(D194&lt;=0,C194&gt;Parametry!$C$6),0,ROUND(-PMT(E194/12,MAX(1,Parametry!$C$6-C194+1),D194),2))</f>
        <v/>
      </c>
      <c r="H194" s="18" t="n"/>
      <c r="I194" s="19">
        <f>IF(OR(L194&lt;=0,C194&gt;=Parametry!$C$6),0,ROUND(-PMT(IF(C194+1&lt;=Parametry!$C$9,Parametry!$C$8,Parametry!$C$10)/12,MAX(1,Parametry!$C$6-C194),L194),2))</f>
        <v/>
      </c>
      <c r="J194" s="27">
        <f>IF(D194&lt;=0,0,MIN(G194+N(H194),D194+F194))</f>
        <v/>
      </c>
      <c r="K194" s="25">
        <f>IF(J194&lt;=0,0,MAX(0,J194-F194))</f>
        <v/>
      </c>
      <c r="L194" s="27">
        <f>IF(D194&lt;=0,0,MAX(0,D194-K194))</f>
        <v/>
      </c>
      <c r="M194" s="28">
        <f>IF(OR(L194&lt;=0,G194&lt;=L194*E194/12),0,MAX(0,ROUNDUP(-LN(1-L194*(E194/12)/G194)/LN(1+E194/12),0)))</f>
        <v/>
      </c>
    </row>
    <row r="195" ht="18" customHeight="1">
      <c r="A195" s="13" t="n">
        <v>193</v>
      </c>
      <c r="B195" s="14">
        <f>IF(C195&lt;=Parametry!$C$6,DATE(Parametry!$C$12+INT((Parametry!$C$13+193-2)/12),MOD(Parametry!$C$13+193-2,12)+1,Parametry!$C$11),"")</f>
        <v/>
      </c>
      <c r="C195" s="15" t="n">
        <v>193</v>
      </c>
      <c r="D195" s="16">
        <f>IF(C195&lt;=Parametry!$C$6,L194,0)</f>
        <v/>
      </c>
      <c r="E195" s="17">
        <f>IF(OR(D195&lt;=0,C195&gt;Parametry!$C$6),0,IF(C195&lt;=Parametry!$C$9,Parametry!$C$8,Parametry!$C$10))</f>
        <v/>
      </c>
      <c r="F195" s="16">
        <f>IF(D195&lt;=0,0,D195*E195/12)</f>
        <v/>
      </c>
      <c r="G195" s="16">
        <f>IF(OR(D195&lt;=0,C195&gt;Parametry!$C$6),0,ROUND(-PMT(E195/12,MAX(1,Parametry!$C$6-C195+1),D195),2))</f>
        <v/>
      </c>
      <c r="H195" s="18" t="n"/>
      <c r="I195" s="19">
        <f>IF(OR(L195&lt;=0,C195&gt;=Parametry!$C$6),0,ROUND(-PMT(IF(C195+1&lt;=Parametry!$C$9,Parametry!$C$8,Parametry!$C$10)/12,MAX(1,Parametry!$C$6-C195),L195),2))</f>
        <v/>
      </c>
      <c r="J195" s="20">
        <f>IF(D195&lt;=0,0,MIN(G195+N(H195),D195+F195))</f>
        <v/>
      </c>
      <c r="K195" s="16">
        <f>IF(J195&lt;=0,0,MAX(0,J195-F195))</f>
        <v/>
      </c>
      <c r="L195" s="20">
        <f>IF(D195&lt;=0,0,MAX(0,D195-K195))</f>
        <v/>
      </c>
      <c r="M195" s="21">
        <f>IF(OR(L195&lt;=0,G195&lt;=L195*E195/12),0,MAX(0,ROUNDUP(-LN(1-L195*(E195/12)/G195)/LN(1+E195/12),0)))</f>
        <v/>
      </c>
    </row>
    <row r="196" ht="18" customHeight="1">
      <c r="A196" s="22" t="n">
        <v>194</v>
      </c>
      <c r="B196" s="23">
        <f>IF(C196&lt;=Parametry!$C$6,DATE(Parametry!$C$12+INT((Parametry!$C$13+194-2)/12),MOD(Parametry!$C$13+194-2,12)+1,Parametry!$C$11),"")</f>
        <v/>
      </c>
      <c r="C196" s="24" t="n">
        <v>194</v>
      </c>
      <c r="D196" s="25">
        <f>IF(C196&lt;=Parametry!$C$6,L195,0)</f>
        <v/>
      </c>
      <c r="E196" s="26">
        <f>IF(OR(D196&lt;=0,C196&gt;Parametry!$C$6),0,IF(C196&lt;=Parametry!$C$9,Parametry!$C$8,Parametry!$C$10))</f>
        <v/>
      </c>
      <c r="F196" s="25">
        <f>IF(D196&lt;=0,0,D196*E196/12)</f>
        <v/>
      </c>
      <c r="G196" s="25">
        <f>IF(OR(D196&lt;=0,C196&gt;Parametry!$C$6),0,ROUND(-PMT(E196/12,MAX(1,Parametry!$C$6-C196+1),D196),2))</f>
        <v/>
      </c>
      <c r="H196" s="18" t="n"/>
      <c r="I196" s="19">
        <f>IF(OR(L196&lt;=0,C196&gt;=Parametry!$C$6),0,ROUND(-PMT(IF(C196+1&lt;=Parametry!$C$9,Parametry!$C$8,Parametry!$C$10)/12,MAX(1,Parametry!$C$6-C196),L196),2))</f>
        <v/>
      </c>
      <c r="J196" s="27">
        <f>IF(D196&lt;=0,0,MIN(G196+N(H196),D196+F196))</f>
        <v/>
      </c>
      <c r="K196" s="25">
        <f>IF(J196&lt;=0,0,MAX(0,J196-F196))</f>
        <v/>
      </c>
      <c r="L196" s="27">
        <f>IF(D196&lt;=0,0,MAX(0,D196-K196))</f>
        <v/>
      </c>
      <c r="M196" s="28">
        <f>IF(OR(L196&lt;=0,G196&lt;=L196*E196/12),0,MAX(0,ROUNDUP(-LN(1-L196*(E196/12)/G196)/LN(1+E196/12),0)))</f>
        <v/>
      </c>
    </row>
    <row r="197" ht="18" customHeight="1">
      <c r="A197" s="13" t="n">
        <v>195</v>
      </c>
      <c r="B197" s="14">
        <f>IF(C197&lt;=Parametry!$C$6,DATE(Parametry!$C$12+INT((Parametry!$C$13+195-2)/12),MOD(Parametry!$C$13+195-2,12)+1,Parametry!$C$11),"")</f>
        <v/>
      </c>
      <c r="C197" s="15" t="n">
        <v>195</v>
      </c>
      <c r="D197" s="16">
        <f>IF(C197&lt;=Parametry!$C$6,L196,0)</f>
        <v/>
      </c>
      <c r="E197" s="17">
        <f>IF(OR(D197&lt;=0,C197&gt;Parametry!$C$6),0,IF(C197&lt;=Parametry!$C$9,Parametry!$C$8,Parametry!$C$10))</f>
        <v/>
      </c>
      <c r="F197" s="16">
        <f>IF(D197&lt;=0,0,D197*E197/12)</f>
        <v/>
      </c>
      <c r="G197" s="16">
        <f>IF(OR(D197&lt;=0,C197&gt;Parametry!$C$6),0,ROUND(-PMT(E197/12,MAX(1,Parametry!$C$6-C197+1),D197),2))</f>
        <v/>
      </c>
      <c r="H197" s="18" t="n"/>
      <c r="I197" s="19">
        <f>IF(OR(L197&lt;=0,C197&gt;=Parametry!$C$6),0,ROUND(-PMT(IF(C197+1&lt;=Parametry!$C$9,Parametry!$C$8,Parametry!$C$10)/12,MAX(1,Parametry!$C$6-C197),L197),2))</f>
        <v/>
      </c>
      <c r="J197" s="20">
        <f>IF(D197&lt;=0,0,MIN(G197+N(H197),D197+F197))</f>
        <v/>
      </c>
      <c r="K197" s="16">
        <f>IF(J197&lt;=0,0,MAX(0,J197-F197))</f>
        <v/>
      </c>
      <c r="L197" s="20">
        <f>IF(D197&lt;=0,0,MAX(0,D197-K197))</f>
        <v/>
      </c>
      <c r="M197" s="21">
        <f>IF(OR(L197&lt;=0,G197&lt;=L197*E197/12),0,MAX(0,ROUNDUP(-LN(1-L197*(E197/12)/G197)/LN(1+E197/12),0)))</f>
        <v/>
      </c>
    </row>
    <row r="198" ht="18" customHeight="1">
      <c r="A198" s="22" t="n">
        <v>196</v>
      </c>
      <c r="B198" s="23">
        <f>IF(C198&lt;=Parametry!$C$6,DATE(Parametry!$C$12+INT((Parametry!$C$13+196-2)/12),MOD(Parametry!$C$13+196-2,12)+1,Parametry!$C$11),"")</f>
        <v/>
      </c>
      <c r="C198" s="24" t="n">
        <v>196</v>
      </c>
      <c r="D198" s="25">
        <f>IF(C198&lt;=Parametry!$C$6,L197,0)</f>
        <v/>
      </c>
      <c r="E198" s="26">
        <f>IF(OR(D198&lt;=0,C198&gt;Parametry!$C$6),0,IF(C198&lt;=Parametry!$C$9,Parametry!$C$8,Parametry!$C$10))</f>
        <v/>
      </c>
      <c r="F198" s="25">
        <f>IF(D198&lt;=0,0,D198*E198/12)</f>
        <v/>
      </c>
      <c r="G198" s="25">
        <f>IF(OR(D198&lt;=0,C198&gt;Parametry!$C$6),0,ROUND(-PMT(E198/12,MAX(1,Parametry!$C$6-C198+1),D198),2))</f>
        <v/>
      </c>
      <c r="H198" s="18" t="n"/>
      <c r="I198" s="19">
        <f>IF(OR(L198&lt;=0,C198&gt;=Parametry!$C$6),0,ROUND(-PMT(IF(C198+1&lt;=Parametry!$C$9,Parametry!$C$8,Parametry!$C$10)/12,MAX(1,Parametry!$C$6-C198),L198),2))</f>
        <v/>
      </c>
      <c r="J198" s="27">
        <f>IF(D198&lt;=0,0,MIN(G198+N(H198),D198+F198))</f>
        <v/>
      </c>
      <c r="K198" s="25">
        <f>IF(J198&lt;=0,0,MAX(0,J198-F198))</f>
        <v/>
      </c>
      <c r="L198" s="27">
        <f>IF(D198&lt;=0,0,MAX(0,D198-K198))</f>
        <v/>
      </c>
      <c r="M198" s="28">
        <f>IF(OR(L198&lt;=0,G198&lt;=L198*E198/12),0,MAX(0,ROUNDUP(-LN(1-L198*(E198/12)/G198)/LN(1+E198/12),0)))</f>
        <v/>
      </c>
    </row>
    <row r="199" ht="18" customHeight="1">
      <c r="A199" s="13" t="n">
        <v>197</v>
      </c>
      <c r="B199" s="14">
        <f>IF(C199&lt;=Parametry!$C$6,DATE(Parametry!$C$12+INT((Parametry!$C$13+197-2)/12),MOD(Parametry!$C$13+197-2,12)+1,Parametry!$C$11),"")</f>
        <v/>
      </c>
      <c r="C199" s="15" t="n">
        <v>197</v>
      </c>
      <c r="D199" s="16">
        <f>IF(C199&lt;=Parametry!$C$6,L198,0)</f>
        <v/>
      </c>
      <c r="E199" s="17">
        <f>IF(OR(D199&lt;=0,C199&gt;Parametry!$C$6),0,IF(C199&lt;=Parametry!$C$9,Parametry!$C$8,Parametry!$C$10))</f>
        <v/>
      </c>
      <c r="F199" s="16">
        <f>IF(D199&lt;=0,0,D199*E199/12)</f>
        <v/>
      </c>
      <c r="G199" s="16">
        <f>IF(OR(D199&lt;=0,C199&gt;Parametry!$C$6),0,ROUND(-PMT(E199/12,MAX(1,Parametry!$C$6-C199+1),D199),2))</f>
        <v/>
      </c>
      <c r="H199" s="18" t="n"/>
      <c r="I199" s="19">
        <f>IF(OR(L199&lt;=0,C199&gt;=Parametry!$C$6),0,ROUND(-PMT(IF(C199+1&lt;=Parametry!$C$9,Parametry!$C$8,Parametry!$C$10)/12,MAX(1,Parametry!$C$6-C199),L199),2))</f>
        <v/>
      </c>
      <c r="J199" s="20">
        <f>IF(D199&lt;=0,0,MIN(G199+N(H199),D199+F199))</f>
        <v/>
      </c>
      <c r="K199" s="16">
        <f>IF(J199&lt;=0,0,MAX(0,J199-F199))</f>
        <v/>
      </c>
      <c r="L199" s="20">
        <f>IF(D199&lt;=0,0,MAX(0,D199-K199))</f>
        <v/>
      </c>
      <c r="M199" s="21">
        <f>IF(OR(L199&lt;=0,G199&lt;=L199*E199/12),0,MAX(0,ROUNDUP(-LN(1-L199*(E199/12)/G199)/LN(1+E199/12),0)))</f>
        <v/>
      </c>
    </row>
    <row r="200" ht="18" customHeight="1">
      <c r="A200" s="22" t="n">
        <v>198</v>
      </c>
      <c r="B200" s="23">
        <f>IF(C200&lt;=Parametry!$C$6,DATE(Parametry!$C$12+INT((Parametry!$C$13+198-2)/12),MOD(Parametry!$C$13+198-2,12)+1,Parametry!$C$11),"")</f>
        <v/>
      </c>
      <c r="C200" s="24" t="n">
        <v>198</v>
      </c>
      <c r="D200" s="25">
        <f>IF(C200&lt;=Parametry!$C$6,L199,0)</f>
        <v/>
      </c>
      <c r="E200" s="26">
        <f>IF(OR(D200&lt;=0,C200&gt;Parametry!$C$6),0,IF(C200&lt;=Parametry!$C$9,Parametry!$C$8,Parametry!$C$10))</f>
        <v/>
      </c>
      <c r="F200" s="25">
        <f>IF(D200&lt;=0,0,D200*E200/12)</f>
        <v/>
      </c>
      <c r="G200" s="25">
        <f>IF(OR(D200&lt;=0,C200&gt;Parametry!$C$6),0,ROUND(-PMT(E200/12,MAX(1,Parametry!$C$6-C200+1),D200),2))</f>
        <v/>
      </c>
      <c r="H200" s="18" t="n"/>
      <c r="I200" s="19">
        <f>IF(OR(L200&lt;=0,C200&gt;=Parametry!$C$6),0,ROUND(-PMT(IF(C200+1&lt;=Parametry!$C$9,Parametry!$C$8,Parametry!$C$10)/12,MAX(1,Parametry!$C$6-C200),L200),2))</f>
        <v/>
      </c>
      <c r="J200" s="27">
        <f>IF(D200&lt;=0,0,MIN(G200+N(H200),D200+F200))</f>
        <v/>
      </c>
      <c r="K200" s="25">
        <f>IF(J200&lt;=0,0,MAX(0,J200-F200))</f>
        <v/>
      </c>
      <c r="L200" s="27">
        <f>IF(D200&lt;=0,0,MAX(0,D200-K200))</f>
        <v/>
      </c>
      <c r="M200" s="28">
        <f>IF(OR(L200&lt;=0,G200&lt;=L200*E200/12),0,MAX(0,ROUNDUP(-LN(1-L200*(E200/12)/G200)/LN(1+E200/12),0)))</f>
        <v/>
      </c>
    </row>
    <row r="201" ht="18" customHeight="1">
      <c r="A201" s="13" t="n">
        <v>199</v>
      </c>
      <c r="B201" s="14">
        <f>IF(C201&lt;=Parametry!$C$6,DATE(Parametry!$C$12+INT((Parametry!$C$13+199-2)/12),MOD(Parametry!$C$13+199-2,12)+1,Parametry!$C$11),"")</f>
        <v/>
      </c>
      <c r="C201" s="15" t="n">
        <v>199</v>
      </c>
      <c r="D201" s="16">
        <f>IF(C201&lt;=Parametry!$C$6,L200,0)</f>
        <v/>
      </c>
      <c r="E201" s="17">
        <f>IF(OR(D201&lt;=0,C201&gt;Parametry!$C$6),0,IF(C201&lt;=Parametry!$C$9,Parametry!$C$8,Parametry!$C$10))</f>
        <v/>
      </c>
      <c r="F201" s="16">
        <f>IF(D201&lt;=0,0,D201*E201/12)</f>
        <v/>
      </c>
      <c r="G201" s="16">
        <f>IF(OR(D201&lt;=0,C201&gt;Parametry!$C$6),0,ROUND(-PMT(E201/12,MAX(1,Parametry!$C$6-C201+1),D201),2))</f>
        <v/>
      </c>
      <c r="H201" s="18" t="n"/>
      <c r="I201" s="19">
        <f>IF(OR(L201&lt;=0,C201&gt;=Parametry!$C$6),0,ROUND(-PMT(IF(C201+1&lt;=Parametry!$C$9,Parametry!$C$8,Parametry!$C$10)/12,MAX(1,Parametry!$C$6-C201),L201),2))</f>
        <v/>
      </c>
      <c r="J201" s="20">
        <f>IF(D201&lt;=0,0,MIN(G201+N(H201),D201+F201))</f>
        <v/>
      </c>
      <c r="K201" s="16">
        <f>IF(J201&lt;=0,0,MAX(0,J201-F201))</f>
        <v/>
      </c>
      <c r="L201" s="20">
        <f>IF(D201&lt;=0,0,MAX(0,D201-K201))</f>
        <v/>
      </c>
      <c r="M201" s="21">
        <f>IF(OR(L201&lt;=0,G201&lt;=L201*E201/12),0,MAX(0,ROUNDUP(-LN(1-L201*(E201/12)/G201)/LN(1+E201/12),0)))</f>
        <v/>
      </c>
    </row>
    <row r="202" ht="18" customHeight="1">
      <c r="A202" s="22" t="n">
        <v>200</v>
      </c>
      <c r="B202" s="23">
        <f>IF(C202&lt;=Parametry!$C$6,DATE(Parametry!$C$12+INT((Parametry!$C$13+200-2)/12),MOD(Parametry!$C$13+200-2,12)+1,Parametry!$C$11),"")</f>
        <v/>
      </c>
      <c r="C202" s="24" t="n">
        <v>200</v>
      </c>
      <c r="D202" s="25">
        <f>IF(C202&lt;=Parametry!$C$6,L201,0)</f>
        <v/>
      </c>
      <c r="E202" s="26">
        <f>IF(OR(D202&lt;=0,C202&gt;Parametry!$C$6),0,IF(C202&lt;=Parametry!$C$9,Parametry!$C$8,Parametry!$C$10))</f>
        <v/>
      </c>
      <c r="F202" s="25">
        <f>IF(D202&lt;=0,0,D202*E202/12)</f>
        <v/>
      </c>
      <c r="G202" s="25">
        <f>IF(OR(D202&lt;=0,C202&gt;Parametry!$C$6),0,ROUND(-PMT(E202/12,MAX(1,Parametry!$C$6-C202+1),D202),2))</f>
        <v/>
      </c>
      <c r="H202" s="18" t="n"/>
      <c r="I202" s="19">
        <f>IF(OR(L202&lt;=0,C202&gt;=Parametry!$C$6),0,ROUND(-PMT(IF(C202+1&lt;=Parametry!$C$9,Parametry!$C$8,Parametry!$C$10)/12,MAX(1,Parametry!$C$6-C202),L202),2))</f>
        <v/>
      </c>
      <c r="J202" s="27">
        <f>IF(D202&lt;=0,0,MIN(G202+N(H202),D202+F202))</f>
        <v/>
      </c>
      <c r="K202" s="25">
        <f>IF(J202&lt;=0,0,MAX(0,J202-F202))</f>
        <v/>
      </c>
      <c r="L202" s="27">
        <f>IF(D202&lt;=0,0,MAX(0,D202-K202))</f>
        <v/>
      </c>
      <c r="M202" s="28">
        <f>IF(OR(L202&lt;=0,G202&lt;=L202*E202/12),0,MAX(0,ROUNDUP(-LN(1-L202*(E202/12)/G202)/LN(1+E202/12),0)))</f>
        <v/>
      </c>
    </row>
    <row r="203" ht="18" customHeight="1">
      <c r="A203" s="13" t="n">
        <v>201</v>
      </c>
      <c r="B203" s="14">
        <f>IF(C203&lt;=Parametry!$C$6,DATE(Parametry!$C$12+INT((Parametry!$C$13+201-2)/12),MOD(Parametry!$C$13+201-2,12)+1,Parametry!$C$11),"")</f>
        <v/>
      </c>
      <c r="C203" s="15" t="n">
        <v>201</v>
      </c>
      <c r="D203" s="16">
        <f>IF(C203&lt;=Parametry!$C$6,L202,0)</f>
        <v/>
      </c>
      <c r="E203" s="17">
        <f>IF(OR(D203&lt;=0,C203&gt;Parametry!$C$6),0,IF(C203&lt;=Parametry!$C$9,Parametry!$C$8,Parametry!$C$10))</f>
        <v/>
      </c>
      <c r="F203" s="16">
        <f>IF(D203&lt;=0,0,D203*E203/12)</f>
        <v/>
      </c>
      <c r="G203" s="16">
        <f>IF(OR(D203&lt;=0,C203&gt;Parametry!$C$6),0,ROUND(-PMT(E203/12,MAX(1,Parametry!$C$6-C203+1),D203),2))</f>
        <v/>
      </c>
      <c r="H203" s="18" t="n"/>
      <c r="I203" s="19">
        <f>IF(OR(L203&lt;=0,C203&gt;=Parametry!$C$6),0,ROUND(-PMT(IF(C203+1&lt;=Parametry!$C$9,Parametry!$C$8,Parametry!$C$10)/12,MAX(1,Parametry!$C$6-C203),L203),2))</f>
        <v/>
      </c>
      <c r="J203" s="20">
        <f>IF(D203&lt;=0,0,MIN(G203+N(H203),D203+F203))</f>
        <v/>
      </c>
      <c r="K203" s="16">
        <f>IF(J203&lt;=0,0,MAX(0,J203-F203))</f>
        <v/>
      </c>
      <c r="L203" s="20">
        <f>IF(D203&lt;=0,0,MAX(0,D203-K203))</f>
        <v/>
      </c>
      <c r="M203" s="21">
        <f>IF(OR(L203&lt;=0,G203&lt;=L203*E203/12),0,MAX(0,ROUNDUP(-LN(1-L203*(E203/12)/G203)/LN(1+E203/12),0)))</f>
        <v/>
      </c>
    </row>
    <row r="204" ht="18" customHeight="1">
      <c r="A204" s="22" t="n">
        <v>202</v>
      </c>
      <c r="B204" s="23">
        <f>IF(C204&lt;=Parametry!$C$6,DATE(Parametry!$C$12+INT((Parametry!$C$13+202-2)/12),MOD(Parametry!$C$13+202-2,12)+1,Parametry!$C$11),"")</f>
        <v/>
      </c>
      <c r="C204" s="24" t="n">
        <v>202</v>
      </c>
      <c r="D204" s="25">
        <f>IF(C204&lt;=Parametry!$C$6,L203,0)</f>
        <v/>
      </c>
      <c r="E204" s="26">
        <f>IF(OR(D204&lt;=0,C204&gt;Parametry!$C$6),0,IF(C204&lt;=Parametry!$C$9,Parametry!$C$8,Parametry!$C$10))</f>
        <v/>
      </c>
      <c r="F204" s="25">
        <f>IF(D204&lt;=0,0,D204*E204/12)</f>
        <v/>
      </c>
      <c r="G204" s="25">
        <f>IF(OR(D204&lt;=0,C204&gt;Parametry!$C$6),0,ROUND(-PMT(E204/12,MAX(1,Parametry!$C$6-C204+1),D204),2))</f>
        <v/>
      </c>
      <c r="H204" s="18" t="n"/>
      <c r="I204" s="19">
        <f>IF(OR(L204&lt;=0,C204&gt;=Parametry!$C$6),0,ROUND(-PMT(IF(C204+1&lt;=Parametry!$C$9,Parametry!$C$8,Parametry!$C$10)/12,MAX(1,Parametry!$C$6-C204),L204),2))</f>
        <v/>
      </c>
      <c r="J204" s="27">
        <f>IF(D204&lt;=0,0,MIN(G204+N(H204),D204+F204))</f>
        <v/>
      </c>
      <c r="K204" s="25">
        <f>IF(J204&lt;=0,0,MAX(0,J204-F204))</f>
        <v/>
      </c>
      <c r="L204" s="27">
        <f>IF(D204&lt;=0,0,MAX(0,D204-K204))</f>
        <v/>
      </c>
      <c r="M204" s="28">
        <f>IF(OR(L204&lt;=0,G204&lt;=L204*E204/12),0,MAX(0,ROUNDUP(-LN(1-L204*(E204/12)/G204)/LN(1+E204/12),0)))</f>
        <v/>
      </c>
    </row>
    <row r="205" ht="18" customHeight="1">
      <c r="A205" s="13" t="n">
        <v>203</v>
      </c>
      <c r="B205" s="14">
        <f>IF(C205&lt;=Parametry!$C$6,DATE(Parametry!$C$12+INT((Parametry!$C$13+203-2)/12),MOD(Parametry!$C$13+203-2,12)+1,Parametry!$C$11),"")</f>
        <v/>
      </c>
      <c r="C205" s="15" t="n">
        <v>203</v>
      </c>
      <c r="D205" s="16">
        <f>IF(C205&lt;=Parametry!$C$6,L204,0)</f>
        <v/>
      </c>
      <c r="E205" s="17">
        <f>IF(OR(D205&lt;=0,C205&gt;Parametry!$C$6),0,IF(C205&lt;=Parametry!$C$9,Parametry!$C$8,Parametry!$C$10))</f>
        <v/>
      </c>
      <c r="F205" s="16">
        <f>IF(D205&lt;=0,0,D205*E205/12)</f>
        <v/>
      </c>
      <c r="G205" s="16">
        <f>IF(OR(D205&lt;=0,C205&gt;Parametry!$C$6),0,ROUND(-PMT(E205/12,MAX(1,Parametry!$C$6-C205+1),D205),2))</f>
        <v/>
      </c>
      <c r="H205" s="18" t="n"/>
      <c r="I205" s="19">
        <f>IF(OR(L205&lt;=0,C205&gt;=Parametry!$C$6),0,ROUND(-PMT(IF(C205+1&lt;=Parametry!$C$9,Parametry!$C$8,Parametry!$C$10)/12,MAX(1,Parametry!$C$6-C205),L205),2))</f>
        <v/>
      </c>
      <c r="J205" s="20">
        <f>IF(D205&lt;=0,0,MIN(G205+N(H205),D205+F205))</f>
        <v/>
      </c>
      <c r="K205" s="16">
        <f>IF(J205&lt;=0,0,MAX(0,J205-F205))</f>
        <v/>
      </c>
      <c r="L205" s="20">
        <f>IF(D205&lt;=0,0,MAX(0,D205-K205))</f>
        <v/>
      </c>
      <c r="M205" s="21">
        <f>IF(OR(L205&lt;=0,G205&lt;=L205*E205/12),0,MAX(0,ROUNDUP(-LN(1-L205*(E205/12)/G205)/LN(1+E205/12),0)))</f>
        <v/>
      </c>
    </row>
    <row r="206" ht="18" customHeight="1">
      <c r="A206" s="22" t="n">
        <v>204</v>
      </c>
      <c r="B206" s="23">
        <f>IF(C206&lt;=Parametry!$C$6,DATE(Parametry!$C$12+INT((Parametry!$C$13+204-2)/12),MOD(Parametry!$C$13+204-2,12)+1,Parametry!$C$11),"")</f>
        <v/>
      </c>
      <c r="C206" s="24" t="n">
        <v>204</v>
      </c>
      <c r="D206" s="25">
        <f>IF(C206&lt;=Parametry!$C$6,L205,0)</f>
        <v/>
      </c>
      <c r="E206" s="26">
        <f>IF(OR(D206&lt;=0,C206&gt;Parametry!$C$6),0,IF(C206&lt;=Parametry!$C$9,Parametry!$C$8,Parametry!$C$10))</f>
        <v/>
      </c>
      <c r="F206" s="25">
        <f>IF(D206&lt;=0,0,D206*E206/12)</f>
        <v/>
      </c>
      <c r="G206" s="25">
        <f>IF(OR(D206&lt;=0,C206&gt;Parametry!$C$6),0,ROUND(-PMT(E206/12,MAX(1,Parametry!$C$6-C206+1),D206),2))</f>
        <v/>
      </c>
      <c r="H206" s="18" t="n"/>
      <c r="I206" s="19">
        <f>IF(OR(L206&lt;=0,C206&gt;=Parametry!$C$6),0,ROUND(-PMT(IF(C206+1&lt;=Parametry!$C$9,Parametry!$C$8,Parametry!$C$10)/12,MAX(1,Parametry!$C$6-C206),L206),2))</f>
        <v/>
      </c>
      <c r="J206" s="27">
        <f>IF(D206&lt;=0,0,MIN(G206+N(H206),D206+F206))</f>
        <v/>
      </c>
      <c r="K206" s="25">
        <f>IF(J206&lt;=0,0,MAX(0,J206-F206))</f>
        <v/>
      </c>
      <c r="L206" s="27">
        <f>IF(D206&lt;=0,0,MAX(0,D206-K206))</f>
        <v/>
      </c>
      <c r="M206" s="28">
        <f>IF(OR(L206&lt;=0,G206&lt;=L206*E206/12),0,MAX(0,ROUNDUP(-LN(1-L206*(E206/12)/G206)/LN(1+E206/12),0)))</f>
        <v/>
      </c>
    </row>
    <row r="207" ht="18" customHeight="1">
      <c r="A207" s="13" t="n">
        <v>205</v>
      </c>
      <c r="B207" s="14">
        <f>IF(C207&lt;=Parametry!$C$6,DATE(Parametry!$C$12+INT((Parametry!$C$13+205-2)/12),MOD(Parametry!$C$13+205-2,12)+1,Parametry!$C$11),"")</f>
        <v/>
      </c>
      <c r="C207" s="15" t="n">
        <v>205</v>
      </c>
      <c r="D207" s="16">
        <f>IF(C207&lt;=Parametry!$C$6,L206,0)</f>
        <v/>
      </c>
      <c r="E207" s="17">
        <f>IF(OR(D207&lt;=0,C207&gt;Parametry!$C$6),0,IF(C207&lt;=Parametry!$C$9,Parametry!$C$8,Parametry!$C$10))</f>
        <v/>
      </c>
      <c r="F207" s="16">
        <f>IF(D207&lt;=0,0,D207*E207/12)</f>
        <v/>
      </c>
      <c r="G207" s="16">
        <f>IF(OR(D207&lt;=0,C207&gt;Parametry!$C$6),0,ROUND(-PMT(E207/12,MAX(1,Parametry!$C$6-C207+1),D207),2))</f>
        <v/>
      </c>
      <c r="H207" s="18" t="n"/>
      <c r="I207" s="19">
        <f>IF(OR(L207&lt;=0,C207&gt;=Parametry!$C$6),0,ROUND(-PMT(IF(C207+1&lt;=Parametry!$C$9,Parametry!$C$8,Parametry!$C$10)/12,MAX(1,Parametry!$C$6-C207),L207),2))</f>
        <v/>
      </c>
      <c r="J207" s="20">
        <f>IF(D207&lt;=0,0,MIN(G207+N(H207),D207+F207))</f>
        <v/>
      </c>
      <c r="K207" s="16">
        <f>IF(J207&lt;=0,0,MAX(0,J207-F207))</f>
        <v/>
      </c>
      <c r="L207" s="20">
        <f>IF(D207&lt;=0,0,MAX(0,D207-K207))</f>
        <v/>
      </c>
      <c r="M207" s="21">
        <f>IF(OR(L207&lt;=0,G207&lt;=L207*E207/12),0,MAX(0,ROUNDUP(-LN(1-L207*(E207/12)/G207)/LN(1+E207/12),0)))</f>
        <v/>
      </c>
    </row>
    <row r="208" ht="18" customHeight="1">
      <c r="A208" s="22" t="n">
        <v>206</v>
      </c>
      <c r="B208" s="23">
        <f>IF(C208&lt;=Parametry!$C$6,DATE(Parametry!$C$12+INT((Parametry!$C$13+206-2)/12),MOD(Parametry!$C$13+206-2,12)+1,Parametry!$C$11),"")</f>
        <v/>
      </c>
      <c r="C208" s="24" t="n">
        <v>206</v>
      </c>
      <c r="D208" s="25">
        <f>IF(C208&lt;=Parametry!$C$6,L207,0)</f>
        <v/>
      </c>
      <c r="E208" s="26">
        <f>IF(OR(D208&lt;=0,C208&gt;Parametry!$C$6),0,IF(C208&lt;=Parametry!$C$9,Parametry!$C$8,Parametry!$C$10))</f>
        <v/>
      </c>
      <c r="F208" s="25">
        <f>IF(D208&lt;=0,0,D208*E208/12)</f>
        <v/>
      </c>
      <c r="G208" s="25">
        <f>IF(OR(D208&lt;=0,C208&gt;Parametry!$C$6),0,ROUND(-PMT(E208/12,MAX(1,Parametry!$C$6-C208+1),D208),2))</f>
        <v/>
      </c>
      <c r="H208" s="18" t="n"/>
      <c r="I208" s="19">
        <f>IF(OR(L208&lt;=0,C208&gt;=Parametry!$C$6),0,ROUND(-PMT(IF(C208+1&lt;=Parametry!$C$9,Parametry!$C$8,Parametry!$C$10)/12,MAX(1,Parametry!$C$6-C208),L208),2))</f>
        <v/>
      </c>
      <c r="J208" s="27">
        <f>IF(D208&lt;=0,0,MIN(G208+N(H208),D208+F208))</f>
        <v/>
      </c>
      <c r="K208" s="25">
        <f>IF(J208&lt;=0,0,MAX(0,J208-F208))</f>
        <v/>
      </c>
      <c r="L208" s="27">
        <f>IF(D208&lt;=0,0,MAX(0,D208-K208))</f>
        <v/>
      </c>
      <c r="M208" s="28">
        <f>IF(OR(L208&lt;=0,G208&lt;=L208*E208/12),0,MAX(0,ROUNDUP(-LN(1-L208*(E208/12)/G208)/LN(1+E208/12),0)))</f>
        <v/>
      </c>
    </row>
    <row r="209" ht="18" customHeight="1">
      <c r="A209" s="13" t="n">
        <v>207</v>
      </c>
      <c r="B209" s="14">
        <f>IF(C209&lt;=Parametry!$C$6,DATE(Parametry!$C$12+INT((Parametry!$C$13+207-2)/12),MOD(Parametry!$C$13+207-2,12)+1,Parametry!$C$11),"")</f>
        <v/>
      </c>
      <c r="C209" s="15" t="n">
        <v>207</v>
      </c>
      <c r="D209" s="16">
        <f>IF(C209&lt;=Parametry!$C$6,L208,0)</f>
        <v/>
      </c>
      <c r="E209" s="17">
        <f>IF(OR(D209&lt;=0,C209&gt;Parametry!$C$6),0,IF(C209&lt;=Parametry!$C$9,Parametry!$C$8,Parametry!$C$10))</f>
        <v/>
      </c>
      <c r="F209" s="16">
        <f>IF(D209&lt;=0,0,D209*E209/12)</f>
        <v/>
      </c>
      <c r="G209" s="16">
        <f>IF(OR(D209&lt;=0,C209&gt;Parametry!$C$6),0,ROUND(-PMT(E209/12,MAX(1,Parametry!$C$6-C209+1),D209),2))</f>
        <v/>
      </c>
      <c r="H209" s="18" t="n"/>
      <c r="I209" s="19">
        <f>IF(OR(L209&lt;=0,C209&gt;=Parametry!$C$6),0,ROUND(-PMT(IF(C209+1&lt;=Parametry!$C$9,Parametry!$C$8,Parametry!$C$10)/12,MAX(1,Parametry!$C$6-C209),L209),2))</f>
        <v/>
      </c>
      <c r="J209" s="20">
        <f>IF(D209&lt;=0,0,MIN(G209+N(H209),D209+F209))</f>
        <v/>
      </c>
      <c r="K209" s="16">
        <f>IF(J209&lt;=0,0,MAX(0,J209-F209))</f>
        <v/>
      </c>
      <c r="L209" s="20">
        <f>IF(D209&lt;=0,0,MAX(0,D209-K209))</f>
        <v/>
      </c>
      <c r="M209" s="21">
        <f>IF(OR(L209&lt;=0,G209&lt;=L209*E209/12),0,MAX(0,ROUNDUP(-LN(1-L209*(E209/12)/G209)/LN(1+E209/12),0)))</f>
        <v/>
      </c>
    </row>
    <row r="210" ht="18" customHeight="1">
      <c r="A210" s="22" t="n">
        <v>208</v>
      </c>
      <c r="B210" s="23">
        <f>IF(C210&lt;=Parametry!$C$6,DATE(Parametry!$C$12+INT((Parametry!$C$13+208-2)/12),MOD(Parametry!$C$13+208-2,12)+1,Parametry!$C$11),"")</f>
        <v/>
      </c>
      <c r="C210" s="24" t="n">
        <v>208</v>
      </c>
      <c r="D210" s="25">
        <f>IF(C210&lt;=Parametry!$C$6,L209,0)</f>
        <v/>
      </c>
      <c r="E210" s="26">
        <f>IF(OR(D210&lt;=0,C210&gt;Parametry!$C$6),0,IF(C210&lt;=Parametry!$C$9,Parametry!$C$8,Parametry!$C$10))</f>
        <v/>
      </c>
      <c r="F210" s="25">
        <f>IF(D210&lt;=0,0,D210*E210/12)</f>
        <v/>
      </c>
      <c r="G210" s="25">
        <f>IF(OR(D210&lt;=0,C210&gt;Parametry!$C$6),0,ROUND(-PMT(E210/12,MAX(1,Parametry!$C$6-C210+1),D210),2))</f>
        <v/>
      </c>
      <c r="H210" s="18" t="n"/>
      <c r="I210" s="19">
        <f>IF(OR(L210&lt;=0,C210&gt;=Parametry!$C$6),0,ROUND(-PMT(IF(C210+1&lt;=Parametry!$C$9,Parametry!$C$8,Parametry!$C$10)/12,MAX(1,Parametry!$C$6-C210),L210),2))</f>
        <v/>
      </c>
      <c r="J210" s="27">
        <f>IF(D210&lt;=0,0,MIN(G210+N(H210),D210+F210))</f>
        <v/>
      </c>
      <c r="K210" s="25">
        <f>IF(J210&lt;=0,0,MAX(0,J210-F210))</f>
        <v/>
      </c>
      <c r="L210" s="27">
        <f>IF(D210&lt;=0,0,MAX(0,D210-K210))</f>
        <v/>
      </c>
      <c r="M210" s="28">
        <f>IF(OR(L210&lt;=0,G210&lt;=L210*E210/12),0,MAX(0,ROUNDUP(-LN(1-L210*(E210/12)/G210)/LN(1+E210/12),0)))</f>
        <v/>
      </c>
    </row>
    <row r="211" ht="18" customHeight="1">
      <c r="A211" s="13" t="n">
        <v>209</v>
      </c>
      <c r="B211" s="14">
        <f>IF(C211&lt;=Parametry!$C$6,DATE(Parametry!$C$12+INT((Parametry!$C$13+209-2)/12),MOD(Parametry!$C$13+209-2,12)+1,Parametry!$C$11),"")</f>
        <v/>
      </c>
      <c r="C211" s="15" t="n">
        <v>209</v>
      </c>
      <c r="D211" s="16">
        <f>IF(C211&lt;=Parametry!$C$6,L210,0)</f>
        <v/>
      </c>
      <c r="E211" s="17">
        <f>IF(OR(D211&lt;=0,C211&gt;Parametry!$C$6),0,IF(C211&lt;=Parametry!$C$9,Parametry!$C$8,Parametry!$C$10))</f>
        <v/>
      </c>
      <c r="F211" s="16">
        <f>IF(D211&lt;=0,0,D211*E211/12)</f>
        <v/>
      </c>
      <c r="G211" s="16">
        <f>IF(OR(D211&lt;=0,C211&gt;Parametry!$C$6),0,ROUND(-PMT(E211/12,MAX(1,Parametry!$C$6-C211+1),D211),2))</f>
        <v/>
      </c>
      <c r="H211" s="18" t="n"/>
      <c r="I211" s="19">
        <f>IF(OR(L211&lt;=0,C211&gt;=Parametry!$C$6),0,ROUND(-PMT(IF(C211+1&lt;=Parametry!$C$9,Parametry!$C$8,Parametry!$C$10)/12,MAX(1,Parametry!$C$6-C211),L211),2))</f>
        <v/>
      </c>
      <c r="J211" s="20">
        <f>IF(D211&lt;=0,0,MIN(G211+N(H211),D211+F211))</f>
        <v/>
      </c>
      <c r="K211" s="16">
        <f>IF(J211&lt;=0,0,MAX(0,J211-F211))</f>
        <v/>
      </c>
      <c r="L211" s="20">
        <f>IF(D211&lt;=0,0,MAX(0,D211-K211))</f>
        <v/>
      </c>
      <c r="M211" s="21">
        <f>IF(OR(L211&lt;=0,G211&lt;=L211*E211/12),0,MAX(0,ROUNDUP(-LN(1-L211*(E211/12)/G211)/LN(1+E211/12),0)))</f>
        <v/>
      </c>
    </row>
    <row r="212" ht="18" customHeight="1">
      <c r="A212" s="22" t="n">
        <v>210</v>
      </c>
      <c r="B212" s="23">
        <f>IF(C212&lt;=Parametry!$C$6,DATE(Parametry!$C$12+INT((Parametry!$C$13+210-2)/12),MOD(Parametry!$C$13+210-2,12)+1,Parametry!$C$11),"")</f>
        <v/>
      </c>
      <c r="C212" s="24" t="n">
        <v>210</v>
      </c>
      <c r="D212" s="25">
        <f>IF(C212&lt;=Parametry!$C$6,L211,0)</f>
        <v/>
      </c>
      <c r="E212" s="26">
        <f>IF(OR(D212&lt;=0,C212&gt;Parametry!$C$6),0,IF(C212&lt;=Parametry!$C$9,Parametry!$C$8,Parametry!$C$10))</f>
        <v/>
      </c>
      <c r="F212" s="25">
        <f>IF(D212&lt;=0,0,D212*E212/12)</f>
        <v/>
      </c>
      <c r="G212" s="25">
        <f>IF(OR(D212&lt;=0,C212&gt;Parametry!$C$6),0,ROUND(-PMT(E212/12,MAX(1,Parametry!$C$6-C212+1),D212),2))</f>
        <v/>
      </c>
      <c r="H212" s="18" t="n"/>
      <c r="I212" s="19">
        <f>IF(OR(L212&lt;=0,C212&gt;=Parametry!$C$6),0,ROUND(-PMT(IF(C212+1&lt;=Parametry!$C$9,Parametry!$C$8,Parametry!$C$10)/12,MAX(1,Parametry!$C$6-C212),L212),2))</f>
        <v/>
      </c>
      <c r="J212" s="27">
        <f>IF(D212&lt;=0,0,MIN(G212+N(H212),D212+F212))</f>
        <v/>
      </c>
      <c r="K212" s="25">
        <f>IF(J212&lt;=0,0,MAX(0,J212-F212))</f>
        <v/>
      </c>
      <c r="L212" s="27">
        <f>IF(D212&lt;=0,0,MAX(0,D212-K212))</f>
        <v/>
      </c>
      <c r="M212" s="28">
        <f>IF(OR(L212&lt;=0,G212&lt;=L212*E212/12),0,MAX(0,ROUNDUP(-LN(1-L212*(E212/12)/G212)/LN(1+E212/12),0)))</f>
        <v/>
      </c>
    </row>
    <row r="213" ht="18" customHeight="1">
      <c r="A213" s="13" t="n">
        <v>211</v>
      </c>
      <c r="B213" s="14">
        <f>IF(C213&lt;=Parametry!$C$6,DATE(Parametry!$C$12+INT((Parametry!$C$13+211-2)/12),MOD(Parametry!$C$13+211-2,12)+1,Parametry!$C$11),"")</f>
        <v/>
      </c>
      <c r="C213" s="15" t="n">
        <v>211</v>
      </c>
      <c r="D213" s="16">
        <f>IF(C213&lt;=Parametry!$C$6,L212,0)</f>
        <v/>
      </c>
      <c r="E213" s="17">
        <f>IF(OR(D213&lt;=0,C213&gt;Parametry!$C$6),0,IF(C213&lt;=Parametry!$C$9,Parametry!$C$8,Parametry!$C$10))</f>
        <v/>
      </c>
      <c r="F213" s="16">
        <f>IF(D213&lt;=0,0,D213*E213/12)</f>
        <v/>
      </c>
      <c r="G213" s="16">
        <f>IF(OR(D213&lt;=0,C213&gt;Parametry!$C$6),0,ROUND(-PMT(E213/12,MAX(1,Parametry!$C$6-C213+1),D213),2))</f>
        <v/>
      </c>
      <c r="H213" s="18" t="n"/>
      <c r="I213" s="19">
        <f>IF(OR(L213&lt;=0,C213&gt;=Parametry!$C$6),0,ROUND(-PMT(IF(C213+1&lt;=Parametry!$C$9,Parametry!$C$8,Parametry!$C$10)/12,MAX(1,Parametry!$C$6-C213),L213),2))</f>
        <v/>
      </c>
      <c r="J213" s="20">
        <f>IF(D213&lt;=0,0,MIN(G213+N(H213),D213+F213))</f>
        <v/>
      </c>
      <c r="K213" s="16">
        <f>IF(J213&lt;=0,0,MAX(0,J213-F213))</f>
        <v/>
      </c>
      <c r="L213" s="20">
        <f>IF(D213&lt;=0,0,MAX(0,D213-K213))</f>
        <v/>
      </c>
      <c r="M213" s="21">
        <f>IF(OR(L213&lt;=0,G213&lt;=L213*E213/12),0,MAX(0,ROUNDUP(-LN(1-L213*(E213/12)/G213)/LN(1+E213/12),0)))</f>
        <v/>
      </c>
    </row>
    <row r="214" ht="18" customHeight="1">
      <c r="A214" s="22" t="n">
        <v>212</v>
      </c>
      <c r="B214" s="23">
        <f>IF(C214&lt;=Parametry!$C$6,DATE(Parametry!$C$12+INT((Parametry!$C$13+212-2)/12),MOD(Parametry!$C$13+212-2,12)+1,Parametry!$C$11),"")</f>
        <v/>
      </c>
      <c r="C214" s="24" t="n">
        <v>212</v>
      </c>
      <c r="D214" s="25">
        <f>IF(C214&lt;=Parametry!$C$6,L213,0)</f>
        <v/>
      </c>
      <c r="E214" s="26">
        <f>IF(OR(D214&lt;=0,C214&gt;Parametry!$C$6),0,IF(C214&lt;=Parametry!$C$9,Parametry!$C$8,Parametry!$C$10))</f>
        <v/>
      </c>
      <c r="F214" s="25">
        <f>IF(D214&lt;=0,0,D214*E214/12)</f>
        <v/>
      </c>
      <c r="G214" s="25">
        <f>IF(OR(D214&lt;=0,C214&gt;Parametry!$C$6),0,ROUND(-PMT(E214/12,MAX(1,Parametry!$C$6-C214+1),D214),2))</f>
        <v/>
      </c>
      <c r="H214" s="18" t="n"/>
      <c r="I214" s="19">
        <f>IF(OR(L214&lt;=0,C214&gt;=Parametry!$C$6),0,ROUND(-PMT(IF(C214+1&lt;=Parametry!$C$9,Parametry!$C$8,Parametry!$C$10)/12,MAX(1,Parametry!$C$6-C214),L214),2))</f>
        <v/>
      </c>
      <c r="J214" s="27">
        <f>IF(D214&lt;=0,0,MIN(G214+N(H214),D214+F214))</f>
        <v/>
      </c>
      <c r="K214" s="25">
        <f>IF(J214&lt;=0,0,MAX(0,J214-F214))</f>
        <v/>
      </c>
      <c r="L214" s="27">
        <f>IF(D214&lt;=0,0,MAX(0,D214-K214))</f>
        <v/>
      </c>
      <c r="M214" s="28">
        <f>IF(OR(L214&lt;=0,G214&lt;=L214*E214/12),0,MAX(0,ROUNDUP(-LN(1-L214*(E214/12)/G214)/LN(1+E214/12),0)))</f>
        <v/>
      </c>
    </row>
    <row r="215" ht="18" customHeight="1">
      <c r="A215" s="13" t="n">
        <v>213</v>
      </c>
      <c r="B215" s="14">
        <f>IF(C215&lt;=Parametry!$C$6,DATE(Parametry!$C$12+INT((Parametry!$C$13+213-2)/12),MOD(Parametry!$C$13+213-2,12)+1,Parametry!$C$11),"")</f>
        <v/>
      </c>
      <c r="C215" s="15" t="n">
        <v>213</v>
      </c>
      <c r="D215" s="16">
        <f>IF(C215&lt;=Parametry!$C$6,L214,0)</f>
        <v/>
      </c>
      <c r="E215" s="17">
        <f>IF(OR(D215&lt;=0,C215&gt;Parametry!$C$6),0,IF(C215&lt;=Parametry!$C$9,Parametry!$C$8,Parametry!$C$10))</f>
        <v/>
      </c>
      <c r="F215" s="16">
        <f>IF(D215&lt;=0,0,D215*E215/12)</f>
        <v/>
      </c>
      <c r="G215" s="16">
        <f>IF(OR(D215&lt;=0,C215&gt;Parametry!$C$6),0,ROUND(-PMT(E215/12,MAX(1,Parametry!$C$6-C215+1),D215),2))</f>
        <v/>
      </c>
      <c r="H215" s="18" t="n"/>
      <c r="I215" s="19">
        <f>IF(OR(L215&lt;=0,C215&gt;=Parametry!$C$6),0,ROUND(-PMT(IF(C215+1&lt;=Parametry!$C$9,Parametry!$C$8,Parametry!$C$10)/12,MAX(1,Parametry!$C$6-C215),L215),2))</f>
        <v/>
      </c>
      <c r="J215" s="20">
        <f>IF(D215&lt;=0,0,MIN(G215+N(H215),D215+F215))</f>
        <v/>
      </c>
      <c r="K215" s="16">
        <f>IF(J215&lt;=0,0,MAX(0,J215-F215))</f>
        <v/>
      </c>
      <c r="L215" s="20">
        <f>IF(D215&lt;=0,0,MAX(0,D215-K215))</f>
        <v/>
      </c>
      <c r="M215" s="21">
        <f>IF(OR(L215&lt;=0,G215&lt;=L215*E215/12),0,MAX(0,ROUNDUP(-LN(1-L215*(E215/12)/G215)/LN(1+E215/12),0)))</f>
        <v/>
      </c>
    </row>
    <row r="216" ht="18" customHeight="1">
      <c r="A216" s="22" t="n">
        <v>214</v>
      </c>
      <c r="B216" s="23">
        <f>IF(C216&lt;=Parametry!$C$6,DATE(Parametry!$C$12+INT((Parametry!$C$13+214-2)/12),MOD(Parametry!$C$13+214-2,12)+1,Parametry!$C$11),"")</f>
        <v/>
      </c>
      <c r="C216" s="24" t="n">
        <v>214</v>
      </c>
      <c r="D216" s="25">
        <f>IF(C216&lt;=Parametry!$C$6,L215,0)</f>
        <v/>
      </c>
      <c r="E216" s="26">
        <f>IF(OR(D216&lt;=0,C216&gt;Parametry!$C$6),0,IF(C216&lt;=Parametry!$C$9,Parametry!$C$8,Parametry!$C$10))</f>
        <v/>
      </c>
      <c r="F216" s="25">
        <f>IF(D216&lt;=0,0,D216*E216/12)</f>
        <v/>
      </c>
      <c r="G216" s="25">
        <f>IF(OR(D216&lt;=0,C216&gt;Parametry!$C$6),0,ROUND(-PMT(E216/12,MAX(1,Parametry!$C$6-C216+1),D216),2))</f>
        <v/>
      </c>
      <c r="H216" s="18" t="n"/>
      <c r="I216" s="19">
        <f>IF(OR(L216&lt;=0,C216&gt;=Parametry!$C$6),0,ROUND(-PMT(IF(C216+1&lt;=Parametry!$C$9,Parametry!$C$8,Parametry!$C$10)/12,MAX(1,Parametry!$C$6-C216),L216),2))</f>
        <v/>
      </c>
      <c r="J216" s="27">
        <f>IF(D216&lt;=0,0,MIN(G216+N(H216),D216+F216))</f>
        <v/>
      </c>
      <c r="K216" s="25">
        <f>IF(J216&lt;=0,0,MAX(0,J216-F216))</f>
        <v/>
      </c>
      <c r="L216" s="27">
        <f>IF(D216&lt;=0,0,MAX(0,D216-K216))</f>
        <v/>
      </c>
      <c r="M216" s="28">
        <f>IF(OR(L216&lt;=0,G216&lt;=L216*E216/12),0,MAX(0,ROUNDUP(-LN(1-L216*(E216/12)/G216)/LN(1+E216/12),0)))</f>
        <v/>
      </c>
    </row>
    <row r="217" ht="18" customHeight="1">
      <c r="A217" s="13" t="n">
        <v>215</v>
      </c>
      <c r="B217" s="14">
        <f>IF(C217&lt;=Parametry!$C$6,DATE(Parametry!$C$12+INT((Parametry!$C$13+215-2)/12),MOD(Parametry!$C$13+215-2,12)+1,Parametry!$C$11),"")</f>
        <v/>
      </c>
      <c r="C217" s="15" t="n">
        <v>215</v>
      </c>
      <c r="D217" s="16">
        <f>IF(C217&lt;=Parametry!$C$6,L216,0)</f>
        <v/>
      </c>
      <c r="E217" s="17">
        <f>IF(OR(D217&lt;=0,C217&gt;Parametry!$C$6),0,IF(C217&lt;=Parametry!$C$9,Parametry!$C$8,Parametry!$C$10))</f>
        <v/>
      </c>
      <c r="F217" s="16">
        <f>IF(D217&lt;=0,0,D217*E217/12)</f>
        <v/>
      </c>
      <c r="G217" s="16">
        <f>IF(OR(D217&lt;=0,C217&gt;Parametry!$C$6),0,ROUND(-PMT(E217/12,MAX(1,Parametry!$C$6-C217+1),D217),2))</f>
        <v/>
      </c>
      <c r="H217" s="18" t="n"/>
      <c r="I217" s="19">
        <f>IF(OR(L217&lt;=0,C217&gt;=Parametry!$C$6),0,ROUND(-PMT(IF(C217+1&lt;=Parametry!$C$9,Parametry!$C$8,Parametry!$C$10)/12,MAX(1,Parametry!$C$6-C217),L217),2))</f>
        <v/>
      </c>
      <c r="J217" s="20">
        <f>IF(D217&lt;=0,0,MIN(G217+N(H217),D217+F217))</f>
        <v/>
      </c>
      <c r="K217" s="16">
        <f>IF(J217&lt;=0,0,MAX(0,J217-F217))</f>
        <v/>
      </c>
      <c r="L217" s="20">
        <f>IF(D217&lt;=0,0,MAX(0,D217-K217))</f>
        <v/>
      </c>
      <c r="M217" s="21">
        <f>IF(OR(L217&lt;=0,G217&lt;=L217*E217/12),0,MAX(0,ROUNDUP(-LN(1-L217*(E217/12)/G217)/LN(1+E217/12),0)))</f>
        <v/>
      </c>
    </row>
    <row r="218" ht="18" customHeight="1">
      <c r="A218" s="22" t="n">
        <v>216</v>
      </c>
      <c r="B218" s="23">
        <f>IF(C218&lt;=Parametry!$C$6,DATE(Parametry!$C$12+INT((Parametry!$C$13+216-2)/12),MOD(Parametry!$C$13+216-2,12)+1,Parametry!$C$11),"")</f>
        <v/>
      </c>
      <c r="C218" s="24" t="n">
        <v>216</v>
      </c>
      <c r="D218" s="25">
        <f>IF(C218&lt;=Parametry!$C$6,L217,0)</f>
        <v/>
      </c>
      <c r="E218" s="26">
        <f>IF(OR(D218&lt;=0,C218&gt;Parametry!$C$6),0,IF(C218&lt;=Parametry!$C$9,Parametry!$C$8,Parametry!$C$10))</f>
        <v/>
      </c>
      <c r="F218" s="25">
        <f>IF(D218&lt;=0,0,D218*E218/12)</f>
        <v/>
      </c>
      <c r="G218" s="25">
        <f>IF(OR(D218&lt;=0,C218&gt;Parametry!$C$6),0,ROUND(-PMT(E218/12,MAX(1,Parametry!$C$6-C218+1),D218),2))</f>
        <v/>
      </c>
      <c r="H218" s="18" t="n"/>
      <c r="I218" s="19">
        <f>IF(OR(L218&lt;=0,C218&gt;=Parametry!$C$6),0,ROUND(-PMT(IF(C218+1&lt;=Parametry!$C$9,Parametry!$C$8,Parametry!$C$10)/12,MAX(1,Parametry!$C$6-C218),L218),2))</f>
        <v/>
      </c>
      <c r="J218" s="27">
        <f>IF(D218&lt;=0,0,MIN(G218+N(H218),D218+F218))</f>
        <v/>
      </c>
      <c r="K218" s="25">
        <f>IF(J218&lt;=0,0,MAX(0,J218-F218))</f>
        <v/>
      </c>
      <c r="L218" s="27">
        <f>IF(D218&lt;=0,0,MAX(0,D218-K218))</f>
        <v/>
      </c>
      <c r="M218" s="28">
        <f>IF(OR(L218&lt;=0,G218&lt;=L218*E218/12),0,MAX(0,ROUNDUP(-LN(1-L218*(E218/12)/G218)/LN(1+E218/12),0)))</f>
        <v/>
      </c>
    </row>
    <row r="219" ht="18" customHeight="1">
      <c r="A219" s="13" t="n">
        <v>217</v>
      </c>
      <c r="B219" s="14">
        <f>IF(C219&lt;=Parametry!$C$6,DATE(Parametry!$C$12+INT((Parametry!$C$13+217-2)/12),MOD(Parametry!$C$13+217-2,12)+1,Parametry!$C$11),"")</f>
        <v/>
      </c>
      <c r="C219" s="15" t="n">
        <v>217</v>
      </c>
      <c r="D219" s="16">
        <f>IF(C219&lt;=Parametry!$C$6,L218,0)</f>
        <v/>
      </c>
      <c r="E219" s="17">
        <f>IF(OR(D219&lt;=0,C219&gt;Parametry!$C$6),0,IF(C219&lt;=Parametry!$C$9,Parametry!$C$8,Parametry!$C$10))</f>
        <v/>
      </c>
      <c r="F219" s="16">
        <f>IF(D219&lt;=0,0,D219*E219/12)</f>
        <v/>
      </c>
      <c r="G219" s="16">
        <f>IF(OR(D219&lt;=0,C219&gt;Parametry!$C$6),0,ROUND(-PMT(E219/12,MAX(1,Parametry!$C$6-C219+1),D219),2))</f>
        <v/>
      </c>
      <c r="H219" s="18" t="n"/>
      <c r="I219" s="19">
        <f>IF(OR(L219&lt;=0,C219&gt;=Parametry!$C$6),0,ROUND(-PMT(IF(C219+1&lt;=Parametry!$C$9,Parametry!$C$8,Parametry!$C$10)/12,MAX(1,Parametry!$C$6-C219),L219),2))</f>
        <v/>
      </c>
      <c r="J219" s="20">
        <f>IF(D219&lt;=0,0,MIN(G219+N(H219),D219+F219))</f>
        <v/>
      </c>
      <c r="K219" s="16">
        <f>IF(J219&lt;=0,0,MAX(0,J219-F219))</f>
        <v/>
      </c>
      <c r="L219" s="20">
        <f>IF(D219&lt;=0,0,MAX(0,D219-K219))</f>
        <v/>
      </c>
      <c r="M219" s="21">
        <f>IF(OR(L219&lt;=0,G219&lt;=L219*E219/12),0,MAX(0,ROUNDUP(-LN(1-L219*(E219/12)/G219)/LN(1+E219/12),0)))</f>
        <v/>
      </c>
    </row>
    <row r="220" ht="18" customHeight="1">
      <c r="A220" s="22" t="n">
        <v>218</v>
      </c>
      <c r="B220" s="23">
        <f>IF(C220&lt;=Parametry!$C$6,DATE(Parametry!$C$12+INT((Parametry!$C$13+218-2)/12),MOD(Parametry!$C$13+218-2,12)+1,Parametry!$C$11),"")</f>
        <v/>
      </c>
      <c r="C220" s="24" t="n">
        <v>218</v>
      </c>
      <c r="D220" s="25">
        <f>IF(C220&lt;=Parametry!$C$6,L219,0)</f>
        <v/>
      </c>
      <c r="E220" s="26">
        <f>IF(OR(D220&lt;=0,C220&gt;Parametry!$C$6),0,IF(C220&lt;=Parametry!$C$9,Parametry!$C$8,Parametry!$C$10))</f>
        <v/>
      </c>
      <c r="F220" s="25">
        <f>IF(D220&lt;=0,0,D220*E220/12)</f>
        <v/>
      </c>
      <c r="G220" s="25">
        <f>IF(OR(D220&lt;=0,C220&gt;Parametry!$C$6),0,ROUND(-PMT(E220/12,MAX(1,Parametry!$C$6-C220+1),D220),2))</f>
        <v/>
      </c>
      <c r="H220" s="18" t="n"/>
      <c r="I220" s="19">
        <f>IF(OR(L220&lt;=0,C220&gt;=Parametry!$C$6),0,ROUND(-PMT(IF(C220+1&lt;=Parametry!$C$9,Parametry!$C$8,Parametry!$C$10)/12,MAX(1,Parametry!$C$6-C220),L220),2))</f>
        <v/>
      </c>
      <c r="J220" s="27">
        <f>IF(D220&lt;=0,0,MIN(G220+N(H220),D220+F220))</f>
        <v/>
      </c>
      <c r="K220" s="25">
        <f>IF(J220&lt;=0,0,MAX(0,J220-F220))</f>
        <v/>
      </c>
      <c r="L220" s="27">
        <f>IF(D220&lt;=0,0,MAX(0,D220-K220))</f>
        <v/>
      </c>
      <c r="M220" s="28">
        <f>IF(OR(L220&lt;=0,G220&lt;=L220*E220/12),0,MAX(0,ROUNDUP(-LN(1-L220*(E220/12)/G220)/LN(1+E220/12),0)))</f>
        <v/>
      </c>
    </row>
    <row r="221" ht="18" customHeight="1">
      <c r="A221" s="13" t="n">
        <v>219</v>
      </c>
      <c r="B221" s="14">
        <f>IF(C221&lt;=Parametry!$C$6,DATE(Parametry!$C$12+INT((Parametry!$C$13+219-2)/12),MOD(Parametry!$C$13+219-2,12)+1,Parametry!$C$11),"")</f>
        <v/>
      </c>
      <c r="C221" s="15" t="n">
        <v>219</v>
      </c>
      <c r="D221" s="16">
        <f>IF(C221&lt;=Parametry!$C$6,L220,0)</f>
        <v/>
      </c>
      <c r="E221" s="17">
        <f>IF(OR(D221&lt;=0,C221&gt;Parametry!$C$6),0,IF(C221&lt;=Parametry!$C$9,Parametry!$C$8,Parametry!$C$10))</f>
        <v/>
      </c>
      <c r="F221" s="16">
        <f>IF(D221&lt;=0,0,D221*E221/12)</f>
        <v/>
      </c>
      <c r="G221" s="16">
        <f>IF(OR(D221&lt;=0,C221&gt;Parametry!$C$6),0,ROUND(-PMT(E221/12,MAX(1,Parametry!$C$6-C221+1),D221),2))</f>
        <v/>
      </c>
      <c r="H221" s="18" t="n"/>
      <c r="I221" s="19">
        <f>IF(OR(L221&lt;=0,C221&gt;=Parametry!$C$6),0,ROUND(-PMT(IF(C221+1&lt;=Parametry!$C$9,Parametry!$C$8,Parametry!$C$10)/12,MAX(1,Parametry!$C$6-C221),L221),2))</f>
        <v/>
      </c>
      <c r="J221" s="20">
        <f>IF(D221&lt;=0,0,MIN(G221+N(H221),D221+F221))</f>
        <v/>
      </c>
      <c r="K221" s="16">
        <f>IF(J221&lt;=0,0,MAX(0,J221-F221))</f>
        <v/>
      </c>
      <c r="L221" s="20">
        <f>IF(D221&lt;=0,0,MAX(0,D221-K221))</f>
        <v/>
      </c>
      <c r="M221" s="21">
        <f>IF(OR(L221&lt;=0,G221&lt;=L221*E221/12),0,MAX(0,ROUNDUP(-LN(1-L221*(E221/12)/G221)/LN(1+E221/12),0)))</f>
        <v/>
      </c>
    </row>
    <row r="222" ht="18" customHeight="1">
      <c r="A222" s="22" t="n">
        <v>220</v>
      </c>
      <c r="B222" s="23">
        <f>IF(C222&lt;=Parametry!$C$6,DATE(Parametry!$C$12+INT((Parametry!$C$13+220-2)/12),MOD(Parametry!$C$13+220-2,12)+1,Parametry!$C$11),"")</f>
        <v/>
      </c>
      <c r="C222" s="24" t="n">
        <v>220</v>
      </c>
      <c r="D222" s="25">
        <f>IF(C222&lt;=Parametry!$C$6,L221,0)</f>
        <v/>
      </c>
      <c r="E222" s="26">
        <f>IF(OR(D222&lt;=0,C222&gt;Parametry!$C$6),0,IF(C222&lt;=Parametry!$C$9,Parametry!$C$8,Parametry!$C$10))</f>
        <v/>
      </c>
      <c r="F222" s="25">
        <f>IF(D222&lt;=0,0,D222*E222/12)</f>
        <v/>
      </c>
      <c r="G222" s="25">
        <f>IF(OR(D222&lt;=0,C222&gt;Parametry!$C$6),0,ROUND(-PMT(E222/12,MAX(1,Parametry!$C$6-C222+1),D222),2))</f>
        <v/>
      </c>
      <c r="H222" s="18" t="n"/>
      <c r="I222" s="19">
        <f>IF(OR(L222&lt;=0,C222&gt;=Parametry!$C$6),0,ROUND(-PMT(IF(C222+1&lt;=Parametry!$C$9,Parametry!$C$8,Parametry!$C$10)/12,MAX(1,Parametry!$C$6-C222),L222),2))</f>
        <v/>
      </c>
      <c r="J222" s="27">
        <f>IF(D222&lt;=0,0,MIN(G222+N(H222),D222+F222))</f>
        <v/>
      </c>
      <c r="K222" s="25">
        <f>IF(J222&lt;=0,0,MAX(0,J222-F222))</f>
        <v/>
      </c>
      <c r="L222" s="27">
        <f>IF(D222&lt;=0,0,MAX(0,D222-K222))</f>
        <v/>
      </c>
      <c r="M222" s="28">
        <f>IF(OR(L222&lt;=0,G222&lt;=L222*E222/12),0,MAX(0,ROUNDUP(-LN(1-L222*(E222/12)/G222)/LN(1+E222/12),0)))</f>
        <v/>
      </c>
    </row>
    <row r="223" ht="18" customHeight="1">
      <c r="A223" s="13" t="n">
        <v>221</v>
      </c>
      <c r="B223" s="14">
        <f>IF(C223&lt;=Parametry!$C$6,DATE(Parametry!$C$12+INT((Parametry!$C$13+221-2)/12),MOD(Parametry!$C$13+221-2,12)+1,Parametry!$C$11),"")</f>
        <v/>
      </c>
      <c r="C223" s="15" t="n">
        <v>221</v>
      </c>
      <c r="D223" s="16">
        <f>IF(C223&lt;=Parametry!$C$6,L222,0)</f>
        <v/>
      </c>
      <c r="E223" s="17">
        <f>IF(OR(D223&lt;=0,C223&gt;Parametry!$C$6),0,IF(C223&lt;=Parametry!$C$9,Parametry!$C$8,Parametry!$C$10))</f>
        <v/>
      </c>
      <c r="F223" s="16">
        <f>IF(D223&lt;=0,0,D223*E223/12)</f>
        <v/>
      </c>
      <c r="G223" s="16">
        <f>IF(OR(D223&lt;=0,C223&gt;Parametry!$C$6),0,ROUND(-PMT(E223/12,MAX(1,Parametry!$C$6-C223+1),D223),2))</f>
        <v/>
      </c>
      <c r="H223" s="18" t="n"/>
      <c r="I223" s="19">
        <f>IF(OR(L223&lt;=0,C223&gt;=Parametry!$C$6),0,ROUND(-PMT(IF(C223+1&lt;=Parametry!$C$9,Parametry!$C$8,Parametry!$C$10)/12,MAX(1,Parametry!$C$6-C223),L223),2))</f>
        <v/>
      </c>
      <c r="J223" s="20">
        <f>IF(D223&lt;=0,0,MIN(G223+N(H223),D223+F223))</f>
        <v/>
      </c>
      <c r="K223" s="16">
        <f>IF(J223&lt;=0,0,MAX(0,J223-F223))</f>
        <v/>
      </c>
      <c r="L223" s="20">
        <f>IF(D223&lt;=0,0,MAX(0,D223-K223))</f>
        <v/>
      </c>
      <c r="M223" s="21">
        <f>IF(OR(L223&lt;=0,G223&lt;=L223*E223/12),0,MAX(0,ROUNDUP(-LN(1-L223*(E223/12)/G223)/LN(1+E223/12),0)))</f>
        <v/>
      </c>
    </row>
    <row r="224" ht="18" customHeight="1">
      <c r="A224" s="22" t="n">
        <v>222</v>
      </c>
      <c r="B224" s="23">
        <f>IF(C224&lt;=Parametry!$C$6,DATE(Parametry!$C$12+INT((Parametry!$C$13+222-2)/12),MOD(Parametry!$C$13+222-2,12)+1,Parametry!$C$11),"")</f>
        <v/>
      </c>
      <c r="C224" s="24" t="n">
        <v>222</v>
      </c>
      <c r="D224" s="25">
        <f>IF(C224&lt;=Parametry!$C$6,L223,0)</f>
        <v/>
      </c>
      <c r="E224" s="26">
        <f>IF(OR(D224&lt;=0,C224&gt;Parametry!$C$6),0,IF(C224&lt;=Parametry!$C$9,Parametry!$C$8,Parametry!$C$10))</f>
        <v/>
      </c>
      <c r="F224" s="25">
        <f>IF(D224&lt;=0,0,D224*E224/12)</f>
        <v/>
      </c>
      <c r="G224" s="25">
        <f>IF(OR(D224&lt;=0,C224&gt;Parametry!$C$6),0,ROUND(-PMT(E224/12,MAX(1,Parametry!$C$6-C224+1),D224),2))</f>
        <v/>
      </c>
      <c r="H224" s="18" t="n"/>
      <c r="I224" s="19">
        <f>IF(OR(L224&lt;=0,C224&gt;=Parametry!$C$6),0,ROUND(-PMT(IF(C224+1&lt;=Parametry!$C$9,Parametry!$C$8,Parametry!$C$10)/12,MAX(1,Parametry!$C$6-C224),L224),2))</f>
        <v/>
      </c>
      <c r="J224" s="27">
        <f>IF(D224&lt;=0,0,MIN(G224+N(H224),D224+F224))</f>
        <v/>
      </c>
      <c r="K224" s="25">
        <f>IF(J224&lt;=0,0,MAX(0,J224-F224))</f>
        <v/>
      </c>
      <c r="L224" s="27">
        <f>IF(D224&lt;=0,0,MAX(0,D224-K224))</f>
        <v/>
      </c>
      <c r="M224" s="28">
        <f>IF(OR(L224&lt;=0,G224&lt;=L224*E224/12),0,MAX(0,ROUNDUP(-LN(1-L224*(E224/12)/G224)/LN(1+E224/12),0)))</f>
        <v/>
      </c>
    </row>
    <row r="225" ht="18" customHeight="1">
      <c r="A225" s="13" t="n">
        <v>223</v>
      </c>
      <c r="B225" s="14">
        <f>IF(C225&lt;=Parametry!$C$6,DATE(Parametry!$C$12+INT((Parametry!$C$13+223-2)/12),MOD(Parametry!$C$13+223-2,12)+1,Parametry!$C$11),"")</f>
        <v/>
      </c>
      <c r="C225" s="15" t="n">
        <v>223</v>
      </c>
      <c r="D225" s="16">
        <f>IF(C225&lt;=Parametry!$C$6,L224,0)</f>
        <v/>
      </c>
      <c r="E225" s="17">
        <f>IF(OR(D225&lt;=0,C225&gt;Parametry!$C$6),0,IF(C225&lt;=Parametry!$C$9,Parametry!$C$8,Parametry!$C$10))</f>
        <v/>
      </c>
      <c r="F225" s="16">
        <f>IF(D225&lt;=0,0,D225*E225/12)</f>
        <v/>
      </c>
      <c r="G225" s="16">
        <f>IF(OR(D225&lt;=0,C225&gt;Parametry!$C$6),0,ROUND(-PMT(E225/12,MAX(1,Parametry!$C$6-C225+1),D225),2))</f>
        <v/>
      </c>
      <c r="H225" s="18" t="n"/>
      <c r="I225" s="19">
        <f>IF(OR(L225&lt;=0,C225&gt;=Parametry!$C$6),0,ROUND(-PMT(IF(C225+1&lt;=Parametry!$C$9,Parametry!$C$8,Parametry!$C$10)/12,MAX(1,Parametry!$C$6-C225),L225),2))</f>
        <v/>
      </c>
      <c r="J225" s="20">
        <f>IF(D225&lt;=0,0,MIN(G225+N(H225),D225+F225))</f>
        <v/>
      </c>
      <c r="K225" s="16">
        <f>IF(J225&lt;=0,0,MAX(0,J225-F225))</f>
        <v/>
      </c>
      <c r="L225" s="20">
        <f>IF(D225&lt;=0,0,MAX(0,D225-K225))</f>
        <v/>
      </c>
      <c r="M225" s="21">
        <f>IF(OR(L225&lt;=0,G225&lt;=L225*E225/12),0,MAX(0,ROUNDUP(-LN(1-L225*(E225/12)/G225)/LN(1+E225/12),0)))</f>
        <v/>
      </c>
    </row>
    <row r="226" ht="18" customHeight="1">
      <c r="A226" s="22" t="n">
        <v>224</v>
      </c>
      <c r="B226" s="23">
        <f>IF(C226&lt;=Parametry!$C$6,DATE(Parametry!$C$12+INT((Parametry!$C$13+224-2)/12),MOD(Parametry!$C$13+224-2,12)+1,Parametry!$C$11),"")</f>
        <v/>
      </c>
      <c r="C226" s="24" t="n">
        <v>224</v>
      </c>
      <c r="D226" s="25">
        <f>IF(C226&lt;=Parametry!$C$6,L225,0)</f>
        <v/>
      </c>
      <c r="E226" s="26">
        <f>IF(OR(D226&lt;=0,C226&gt;Parametry!$C$6),0,IF(C226&lt;=Parametry!$C$9,Parametry!$C$8,Parametry!$C$10))</f>
        <v/>
      </c>
      <c r="F226" s="25">
        <f>IF(D226&lt;=0,0,D226*E226/12)</f>
        <v/>
      </c>
      <c r="G226" s="25">
        <f>IF(OR(D226&lt;=0,C226&gt;Parametry!$C$6),0,ROUND(-PMT(E226/12,MAX(1,Parametry!$C$6-C226+1),D226),2))</f>
        <v/>
      </c>
      <c r="H226" s="18" t="n"/>
      <c r="I226" s="19">
        <f>IF(OR(L226&lt;=0,C226&gt;=Parametry!$C$6),0,ROUND(-PMT(IF(C226+1&lt;=Parametry!$C$9,Parametry!$C$8,Parametry!$C$10)/12,MAX(1,Parametry!$C$6-C226),L226),2))</f>
        <v/>
      </c>
      <c r="J226" s="27">
        <f>IF(D226&lt;=0,0,MIN(G226+N(H226),D226+F226))</f>
        <v/>
      </c>
      <c r="K226" s="25">
        <f>IF(J226&lt;=0,0,MAX(0,J226-F226))</f>
        <v/>
      </c>
      <c r="L226" s="27">
        <f>IF(D226&lt;=0,0,MAX(0,D226-K226))</f>
        <v/>
      </c>
      <c r="M226" s="28">
        <f>IF(OR(L226&lt;=0,G226&lt;=L226*E226/12),0,MAX(0,ROUNDUP(-LN(1-L226*(E226/12)/G226)/LN(1+E226/12),0)))</f>
        <v/>
      </c>
    </row>
    <row r="227" ht="18" customHeight="1">
      <c r="A227" s="13" t="n">
        <v>225</v>
      </c>
      <c r="B227" s="14">
        <f>IF(C227&lt;=Parametry!$C$6,DATE(Parametry!$C$12+INT((Parametry!$C$13+225-2)/12),MOD(Parametry!$C$13+225-2,12)+1,Parametry!$C$11),"")</f>
        <v/>
      </c>
      <c r="C227" s="15" t="n">
        <v>225</v>
      </c>
      <c r="D227" s="16">
        <f>IF(C227&lt;=Parametry!$C$6,L226,0)</f>
        <v/>
      </c>
      <c r="E227" s="17">
        <f>IF(OR(D227&lt;=0,C227&gt;Parametry!$C$6),0,IF(C227&lt;=Parametry!$C$9,Parametry!$C$8,Parametry!$C$10))</f>
        <v/>
      </c>
      <c r="F227" s="16">
        <f>IF(D227&lt;=0,0,D227*E227/12)</f>
        <v/>
      </c>
      <c r="G227" s="16">
        <f>IF(OR(D227&lt;=0,C227&gt;Parametry!$C$6),0,ROUND(-PMT(E227/12,MAX(1,Parametry!$C$6-C227+1),D227),2))</f>
        <v/>
      </c>
      <c r="H227" s="18" t="n"/>
      <c r="I227" s="19">
        <f>IF(OR(L227&lt;=0,C227&gt;=Parametry!$C$6),0,ROUND(-PMT(IF(C227+1&lt;=Parametry!$C$9,Parametry!$C$8,Parametry!$C$10)/12,MAX(1,Parametry!$C$6-C227),L227),2))</f>
        <v/>
      </c>
      <c r="J227" s="20">
        <f>IF(D227&lt;=0,0,MIN(G227+N(H227),D227+F227))</f>
        <v/>
      </c>
      <c r="K227" s="16">
        <f>IF(J227&lt;=0,0,MAX(0,J227-F227))</f>
        <v/>
      </c>
      <c r="L227" s="20">
        <f>IF(D227&lt;=0,0,MAX(0,D227-K227))</f>
        <v/>
      </c>
      <c r="M227" s="21">
        <f>IF(OR(L227&lt;=0,G227&lt;=L227*E227/12),0,MAX(0,ROUNDUP(-LN(1-L227*(E227/12)/G227)/LN(1+E227/12),0)))</f>
        <v/>
      </c>
    </row>
    <row r="228" ht="18" customHeight="1">
      <c r="A228" s="22" t="n">
        <v>226</v>
      </c>
      <c r="B228" s="23">
        <f>IF(C228&lt;=Parametry!$C$6,DATE(Parametry!$C$12+INT((Parametry!$C$13+226-2)/12),MOD(Parametry!$C$13+226-2,12)+1,Parametry!$C$11),"")</f>
        <v/>
      </c>
      <c r="C228" s="24" t="n">
        <v>226</v>
      </c>
      <c r="D228" s="25">
        <f>IF(C228&lt;=Parametry!$C$6,L227,0)</f>
        <v/>
      </c>
      <c r="E228" s="26">
        <f>IF(OR(D228&lt;=0,C228&gt;Parametry!$C$6),0,IF(C228&lt;=Parametry!$C$9,Parametry!$C$8,Parametry!$C$10))</f>
        <v/>
      </c>
      <c r="F228" s="25">
        <f>IF(D228&lt;=0,0,D228*E228/12)</f>
        <v/>
      </c>
      <c r="G228" s="25">
        <f>IF(OR(D228&lt;=0,C228&gt;Parametry!$C$6),0,ROUND(-PMT(E228/12,MAX(1,Parametry!$C$6-C228+1),D228),2))</f>
        <v/>
      </c>
      <c r="H228" s="18" t="n"/>
      <c r="I228" s="19">
        <f>IF(OR(L228&lt;=0,C228&gt;=Parametry!$C$6),0,ROUND(-PMT(IF(C228+1&lt;=Parametry!$C$9,Parametry!$C$8,Parametry!$C$10)/12,MAX(1,Parametry!$C$6-C228),L228),2))</f>
        <v/>
      </c>
      <c r="J228" s="27">
        <f>IF(D228&lt;=0,0,MIN(G228+N(H228),D228+F228))</f>
        <v/>
      </c>
      <c r="K228" s="25">
        <f>IF(J228&lt;=0,0,MAX(0,J228-F228))</f>
        <v/>
      </c>
      <c r="L228" s="27">
        <f>IF(D228&lt;=0,0,MAX(0,D228-K228))</f>
        <v/>
      </c>
      <c r="M228" s="28">
        <f>IF(OR(L228&lt;=0,G228&lt;=L228*E228/12),0,MAX(0,ROUNDUP(-LN(1-L228*(E228/12)/G228)/LN(1+E228/12),0)))</f>
        <v/>
      </c>
    </row>
    <row r="229" ht="18" customHeight="1">
      <c r="A229" s="13" t="n">
        <v>227</v>
      </c>
      <c r="B229" s="14">
        <f>IF(C229&lt;=Parametry!$C$6,DATE(Parametry!$C$12+INT((Parametry!$C$13+227-2)/12),MOD(Parametry!$C$13+227-2,12)+1,Parametry!$C$11),"")</f>
        <v/>
      </c>
      <c r="C229" s="15" t="n">
        <v>227</v>
      </c>
      <c r="D229" s="16">
        <f>IF(C229&lt;=Parametry!$C$6,L228,0)</f>
        <v/>
      </c>
      <c r="E229" s="17">
        <f>IF(OR(D229&lt;=0,C229&gt;Parametry!$C$6),0,IF(C229&lt;=Parametry!$C$9,Parametry!$C$8,Parametry!$C$10))</f>
        <v/>
      </c>
      <c r="F229" s="16">
        <f>IF(D229&lt;=0,0,D229*E229/12)</f>
        <v/>
      </c>
      <c r="G229" s="16">
        <f>IF(OR(D229&lt;=0,C229&gt;Parametry!$C$6),0,ROUND(-PMT(E229/12,MAX(1,Parametry!$C$6-C229+1),D229),2))</f>
        <v/>
      </c>
      <c r="H229" s="18" t="n"/>
      <c r="I229" s="19">
        <f>IF(OR(L229&lt;=0,C229&gt;=Parametry!$C$6),0,ROUND(-PMT(IF(C229+1&lt;=Parametry!$C$9,Parametry!$C$8,Parametry!$C$10)/12,MAX(1,Parametry!$C$6-C229),L229),2))</f>
        <v/>
      </c>
      <c r="J229" s="20">
        <f>IF(D229&lt;=0,0,MIN(G229+N(H229),D229+F229))</f>
        <v/>
      </c>
      <c r="K229" s="16">
        <f>IF(J229&lt;=0,0,MAX(0,J229-F229))</f>
        <v/>
      </c>
      <c r="L229" s="20">
        <f>IF(D229&lt;=0,0,MAX(0,D229-K229))</f>
        <v/>
      </c>
      <c r="M229" s="21">
        <f>IF(OR(L229&lt;=0,G229&lt;=L229*E229/12),0,MAX(0,ROUNDUP(-LN(1-L229*(E229/12)/G229)/LN(1+E229/12),0)))</f>
        <v/>
      </c>
    </row>
    <row r="230" ht="18" customHeight="1">
      <c r="A230" s="22" t="n">
        <v>228</v>
      </c>
      <c r="B230" s="23">
        <f>IF(C230&lt;=Parametry!$C$6,DATE(Parametry!$C$12+INT((Parametry!$C$13+228-2)/12),MOD(Parametry!$C$13+228-2,12)+1,Parametry!$C$11),"")</f>
        <v/>
      </c>
      <c r="C230" s="24" t="n">
        <v>228</v>
      </c>
      <c r="D230" s="25">
        <f>IF(C230&lt;=Parametry!$C$6,L229,0)</f>
        <v/>
      </c>
      <c r="E230" s="26">
        <f>IF(OR(D230&lt;=0,C230&gt;Parametry!$C$6),0,IF(C230&lt;=Parametry!$C$9,Parametry!$C$8,Parametry!$C$10))</f>
        <v/>
      </c>
      <c r="F230" s="25">
        <f>IF(D230&lt;=0,0,D230*E230/12)</f>
        <v/>
      </c>
      <c r="G230" s="25">
        <f>IF(OR(D230&lt;=0,C230&gt;Parametry!$C$6),0,ROUND(-PMT(E230/12,MAX(1,Parametry!$C$6-C230+1),D230),2))</f>
        <v/>
      </c>
      <c r="H230" s="18" t="n"/>
      <c r="I230" s="19">
        <f>IF(OR(L230&lt;=0,C230&gt;=Parametry!$C$6),0,ROUND(-PMT(IF(C230+1&lt;=Parametry!$C$9,Parametry!$C$8,Parametry!$C$10)/12,MAX(1,Parametry!$C$6-C230),L230),2))</f>
        <v/>
      </c>
      <c r="J230" s="27">
        <f>IF(D230&lt;=0,0,MIN(G230+N(H230),D230+F230))</f>
        <v/>
      </c>
      <c r="K230" s="25">
        <f>IF(J230&lt;=0,0,MAX(0,J230-F230))</f>
        <v/>
      </c>
      <c r="L230" s="27">
        <f>IF(D230&lt;=0,0,MAX(0,D230-K230))</f>
        <v/>
      </c>
      <c r="M230" s="28">
        <f>IF(OR(L230&lt;=0,G230&lt;=L230*E230/12),0,MAX(0,ROUNDUP(-LN(1-L230*(E230/12)/G230)/LN(1+E230/12),0)))</f>
        <v/>
      </c>
    </row>
    <row r="231" ht="18" customHeight="1">
      <c r="A231" s="13" t="n">
        <v>229</v>
      </c>
      <c r="B231" s="14">
        <f>IF(C231&lt;=Parametry!$C$6,DATE(Parametry!$C$12+INT((Parametry!$C$13+229-2)/12),MOD(Parametry!$C$13+229-2,12)+1,Parametry!$C$11),"")</f>
        <v/>
      </c>
      <c r="C231" s="15" t="n">
        <v>229</v>
      </c>
      <c r="D231" s="16">
        <f>IF(C231&lt;=Parametry!$C$6,L230,0)</f>
        <v/>
      </c>
      <c r="E231" s="17">
        <f>IF(OR(D231&lt;=0,C231&gt;Parametry!$C$6),0,IF(C231&lt;=Parametry!$C$9,Parametry!$C$8,Parametry!$C$10))</f>
        <v/>
      </c>
      <c r="F231" s="16">
        <f>IF(D231&lt;=0,0,D231*E231/12)</f>
        <v/>
      </c>
      <c r="G231" s="16">
        <f>IF(OR(D231&lt;=0,C231&gt;Parametry!$C$6),0,ROUND(-PMT(E231/12,MAX(1,Parametry!$C$6-C231+1),D231),2))</f>
        <v/>
      </c>
      <c r="H231" s="18" t="n"/>
      <c r="I231" s="19">
        <f>IF(OR(L231&lt;=0,C231&gt;=Parametry!$C$6),0,ROUND(-PMT(IF(C231+1&lt;=Parametry!$C$9,Parametry!$C$8,Parametry!$C$10)/12,MAX(1,Parametry!$C$6-C231),L231),2))</f>
        <v/>
      </c>
      <c r="J231" s="20">
        <f>IF(D231&lt;=0,0,MIN(G231+N(H231),D231+F231))</f>
        <v/>
      </c>
      <c r="K231" s="16">
        <f>IF(J231&lt;=0,0,MAX(0,J231-F231))</f>
        <v/>
      </c>
      <c r="L231" s="20">
        <f>IF(D231&lt;=0,0,MAX(0,D231-K231))</f>
        <v/>
      </c>
      <c r="M231" s="21">
        <f>IF(OR(L231&lt;=0,G231&lt;=L231*E231/12),0,MAX(0,ROUNDUP(-LN(1-L231*(E231/12)/G231)/LN(1+E231/12),0)))</f>
        <v/>
      </c>
    </row>
    <row r="232" ht="18" customHeight="1">
      <c r="A232" s="22" t="n">
        <v>230</v>
      </c>
      <c r="B232" s="23">
        <f>IF(C232&lt;=Parametry!$C$6,DATE(Parametry!$C$12+INT((Parametry!$C$13+230-2)/12),MOD(Parametry!$C$13+230-2,12)+1,Parametry!$C$11),"")</f>
        <v/>
      </c>
      <c r="C232" s="24" t="n">
        <v>230</v>
      </c>
      <c r="D232" s="25">
        <f>IF(C232&lt;=Parametry!$C$6,L231,0)</f>
        <v/>
      </c>
      <c r="E232" s="26">
        <f>IF(OR(D232&lt;=0,C232&gt;Parametry!$C$6),0,IF(C232&lt;=Parametry!$C$9,Parametry!$C$8,Parametry!$C$10))</f>
        <v/>
      </c>
      <c r="F232" s="25">
        <f>IF(D232&lt;=0,0,D232*E232/12)</f>
        <v/>
      </c>
      <c r="G232" s="25">
        <f>IF(OR(D232&lt;=0,C232&gt;Parametry!$C$6),0,ROUND(-PMT(E232/12,MAX(1,Parametry!$C$6-C232+1),D232),2))</f>
        <v/>
      </c>
      <c r="H232" s="18" t="n"/>
      <c r="I232" s="19">
        <f>IF(OR(L232&lt;=0,C232&gt;=Parametry!$C$6),0,ROUND(-PMT(IF(C232+1&lt;=Parametry!$C$9,Parametry!$C$8,Parametry!$C$10)/12,MAX(1,Parametry!$C$6-C232),L232),2))</f>
        <v/>
      </c>
      <c r="J232" s="27">
        <f>IF(D232&lt;=0,0,MIN(G232+N(H232),D232+F232))</f>
        <v/>
      </c>
      <c r="K232" s="25">
        <f>IF(J232&lt;=0,0,MAX(0,J232-F232))</f>
        <v/>
      </c>
      <c r="L232" s="27">
        <f>IF(D232&lt;=0,0,MAX(0,D232-K232))</f>
        <v/>
      </c>
      <c r="M232" s="28">
        <f>IF(OR(L232&lt;=0,G232&lt;=L232*E232/12),0,MAX(0,ROUNDUP(-LN(1-L232*(E232/12)/G232)/LN(1+E232/12),0)))</f>
        <v/>
      </c>
    </row>
    <row r="233" ht="18" customHeight="1">
      <c r="A233" s="13" t="n">
        <v>231</v>
      </c>
      <c r="B233" s="14">
        <f>IF(C233&lt;=Parametry!$C$6,DATE(Parametry!$C$12+INT((Parametry!$C$13+231-2)/12),MOD(Parametry!$C$13+231-2,12)+1,Parametry!$C$11),"")</f>
        <v/>
      </c>
      <c r="C233" s="15" t="n">
        <v>231</v>
      </c>
      <c r="D233" s="16">
        <f>IF(C233&lt;=Parametry!$C$6,L232,0)</f>
        <v/>
      </c>
      <c r="E233" s="17">
        <f>IF(OR(D233&lt;=0,C233&gt;Parametry!$C$6),0,IF(C233&lt;=Parametry!$C$9,Parametry!$C$8,Parametry!$C$10))</f>
        <v/>
      </c>
      <c r="F233" s="16">
        <f>IF(D233&lt;=0,0,D233*E233/12)</f>
        <v/>
      </c>
      <c r="G233" s="16">
        <f>IF(OR(D233&lt;=0,C233&gt;Parametry!$C$6),0,ROUND(-PMT(E233/12,MAX(1,Parametry!$C$6-C233+1),D233),2))</f>
        <v/>
      </c>
      <c r="H233" s="18" t="n"/>
      <c r="I233" s="19">
        <f>IF(OR(L233&lt;=0,C233&gt;=Parametry!$C$6),0,ROUND(-PMT(IF(C233+1&lt;=Parametry!$C$9,Parametry!$C$8,Parametry!$C$10)/12,MAX(1,Parametry!$C$6-C233),L233),2))</f>
        <v/>
      </c>
      <c r="J233" s="20">
        <f>IF(D233&lt;=0,0,MIN(G233+N(H233),D233+F233))</f>
        <v/>
      </c>
      <c r="K233" s="16">
        <f>IF(J233&lt;=0,0,MAX(0,J233-F233))</f>
        <v/>
      </c>
      <c r="L233" s="20">
        <f>IF(D233&lt;=0,0,MAX(0,D233-K233))</f>
        <v/>
      </c>
      <c r="M233" s="21">
        <f>IF(OR(L233&lt;=0,G233&lt;=L233*E233/12),0,MAX(0,ROUNDUP(-LN(1-L233*(E233/12)/G233)/LN(1+E233/12),0)))</f>
        <v/>
      </c>
    </row>
    <row r="234" ht="18" customHeight="1">
      <c r="A234" s="22" t="n">
        <v>232</v>
      </c>
      <c r="B234" s="23">
        <f>IF(C234&lt;=Parametry!$C$6,DATE(Parametry!$C$12+INT((Parametry!$C$13+232-2)/12),MOD(Parametry!$C$13+232-2,12)+1,Parametry!$C$11),"")</f>
        <v/>
      </c>
      <c r="C234" s="24" t="n">
        <v>232</v>
      </c>
      <c r="D234" s="25">
        <f>IF(C234&lt;=Parametry!$C$6,L233,0)</f>
        <v/>
      </c>
      <c r="E234" s="26">
        <f>IF(OR(D234&lt;=0,C234&gt;Parametry!$C$6),0,IF(C234&lt;=Parametry!$C$9,Parametry!$C$8,Parametry!$C$10))</f>
        <v/>
      </c>
      <c r="F234" s="25">
        <f>IF(D234&lt;=0,0,D234*E234/12)</f>
        <v/>
      </c>
      <c r="G234" s="25">
        <f>IF(OR(D234&lt;=0,C234&gt;Parametry!$C$6),0,ROUND(-PMT(E234/12,MAX(1,Parametry!$C$6-C234+1),D234),2))</f>
        <v/>
      </c>
      <c r="H234" s="18" t="n"/>
      <c r="I234" s="19">
        <f>IF(OR(L234&lt;=0,C234&gt;=Parametry!$C$6),0,ROUND(-PMT(IF(C234+1&lt;=Parametry!$C$9,Parametry!$C$8,Parametry!$C$10)/12,MAX(1,Parametry!$C$6-C234),L234),2))</f>
        <v/>
      </c>
      <c r="J234" s="27">
        <f>IF(D234&lt;=0,0,MIN(G234+N(H234),D234+F234))</f>
        <v/>
      </c>
      <c r="K234" s="25">
        <f>IF(J234&lt;=0,0,MAX(0,J234-F234))</f>
        <v/>
      </c>
      <c r="L234" s="27">
        <f>IF(D234&lt;=0,0,MAX(0,D234-K234))</f>
        <v/>
      </c>
      <c r="M234" s="28">
        <f>IF(OR(L234&lt;=0,G234&lt;=L234*E234/12),0,MAX(0,ROUNDUP(-LN(1-L234*(E234/12)/G234)/LN(1+E234/12),0)))</f>
        <v/>
      </c>
    </row>
    <row r="235" ht="18" customHeight="1">
      <c r="A235" s="13" t="n">
        <v>233</v>
      </c>
      <c r="B235" s="14">
        <f>IF(C235&lt;=Parametry!$C$6,DATE(Parametry!$C$12+INT((Parametry!$C$13+233-2)/12),MOD(Parametry!$C$13+233-2,12)+1,Parametry!$C$11),"")</f>
        <v/>
      </c>
      <c r="C235" s="15" t="n">
        <v>233</v>
      </c>
      <c r="D235" s="16">
        <f>IF(C235&lt;=Parametry!$C$6,L234,0)</f>
        <v/>
      </c>
      <c r="E235" s="17">
        <f>IF(OR(D235&lt;=0,C235&gt;Parametry!$C$6),0,IF(C235&lt;=Parametry!$C$9,Parametry!$C$8,Parametry!$C$10))</f>
        <v/>
      </c>
      <c r="F235" s="16">
        <f>IF(D235&lt;=0,0,D235*E235/12)</f>
        <v/>
      </c>
      <c r="G235" s="16">
        <f>IF(OR(D235&lt;=0,C235&gt;Parametry!$C$6),0,ROUND(-PMT(E235/12,MAX(1,Parametry!$C$6-C235+1),D235),2))</f>
        <v/>
      </c>
      <c r="H235" s="18" t="n"/>
      <c r="I235" s="19">
        <f>IF(OR(L235&lt;=0,C235&gt;=Parametry!$C$6),0,ROUND(-PMT(IF(C235+1&lt;=Parametry!$C$9,Parametry!$C$8,Parametry!$C$10)/12,MAX(1,Parametry!$C$6-C235),L235),2))</f>
        <v/>
      </c>
      <c r="J235" s="20">
        <f>IF(D235&lt;=0,0,MIN(G235+N(H235),D235+F235))</f>
        <v/>
      </c>
      <c r="K235" s="16">
        <f>IF(J235&lt;=0,0,MAX(0,J235-F235))</f>
        <v/>
      </c>
      <c r="L235" s="20">
        <f>IF(D235&lt;=0,0,MAX(0,D235-K235))</f>
        <v/>
      </c>
      <c r="M235" s="21">
        <f>IF(OR(L235&lt;=0,G235&lt;=L235*E235/12),0,MAX(0,ROUNDUP(-LN(1-L235*(E235/12)/G235)/LN(1+E235/12),0)))</f>
        <v/>
      </c>
    </row>
    <row r="236" ht="18" customHeight="1">
      <c r="A236" s="22" t="n">
        <v>234</v>
      </c>
      <c r="B236" s="23">
        <f>IF(C236&lt;=Parametry!$C$6,DATE(Parametry!$C$12+INT((Parametry!$C$13+234-2)/12),MOD(Parametry!$C$13+234-2,12)+1,Parametry!$C$11),"")</f>
        <v/>
      </c>
      <c r="C236" s="24" t="n">
        <v>234</v>
      </c>
      <c r="D236" s="25">
        <f>IF(C236&lt;=Parametry!$C$6,L235,0)</f>
        <v/>
      </c>
      <c r="E236" s="26">
        <f>IF(OR(D236&lt;=0,C236&gt;Parametry!$C$6),0,IF(C236&lt;=Parametry!$C$9,Parametry!$C$8,Parametry!$C$10))</f>
        <v/>
      </c>
      <c r="F236" s="25">
        <f>IF(D236&lt;=0,0,D236*E236/12)</f>
        <v/>
      </c>
      <c r="G236" s="25">
        <f>IF(OR(D236&lt;=0,C236&gt;Parametry!$C$6),0,ROUND(-PMT(E236/12,MAX(1,Parametry!$C$6-C236+1),D236),2))</f>
        <v/>
      </c>
      <c r="H236" s="18" t="n"/>
      <c r="I236" s="19">
        <f>IF(OR(L236&lt;=0,C236&gt;=Parametry!$C$6),0,ROUND(-PMT(IF(C236+1&lt;=Parametry!$C$9,Parametry!$C$8,Parametry!$C$10)/12,MAX(1,Parametry!$C$6-C236),L236),2))</f>
        <v/>
      </c>
      <c r="J236" s="27">
        <f>IF(D236&lt;=0,0,MIN(G236+N(H236),D236+F236))</f>
        <v/>
      </c>
      <c r="K236" s="25">
        <f>IF(J236&lt;=0,0,MAX(0,J236-F236))</f>
        <v/>
      </c>
      <c r="L236" s="27">
        <f>IF(D236&lt;=0,0,MAX(0,D236-K236))</f>
        <v/>
      </c>
      <c r="M236" s="28">
        <f>IF(OR(L236&lt;=0,G236&lt;=L236*E236/12),0,MAX(0,ROUNDUP(-LN(1-L236*(E236/12)/G236)/LN(1+E236/12),0)))</f>
        <v/>
      </c>
    </row>
    <row r="237" ht="18" customHeight="1">
      <c r="A237" s="13" t="n">
        <v>235</v>
      </c>
      <c r="B237" s="14">
        <f>IF(C237&lt;=Parametry!$C$6,DATE(Parametry!$C$12+INT((Parametry!$C$13+235-2)/12),MOD(Parametry!$C$13+235-2,12)+1,Parametry!$C$11),"")</f>
        <v/>
      </c>
      <c r="C237" s="15" t="n">
        <v>235</v>
      </c>
      <c r="D237" s="16">
        <f>IF(C237&lt;=Parametry!$C$6,L236,0)</f>
        <v/>
      </c>
      <c r="E237" s="17">
        <f>IF(OR(D237&lt;=0,C237&gt;Parametry!$C$6),0,IF(C237&lt;=Parametry!$C$9,Parametry!$C$8,Parametry!$C$10))</f>
        <v/>
      </c>
      <c r="F237" s="16">
        <f>IF(D237&lt;=0,0,D237*E237/12)</f>
        <v/>
      </c>
      <c r="G237" s="16">
        <f>IF(OR(D237&lt;=0,C237&gt;Parametry!$C$6),0,ROUND(-PMT(E237/12,MAX(1,Parametry!$C$6-C237+1),D237),2))</f>
        <v/>
      </c>
      <c r="H237" s="18" t="n"/>
      <c r="I237" s="19">
        <f>IF(OR(L237&lt;=0,C237&gt;=Parametry!$C$6),0,ROUND(-PMT(IF(C237+1&lt;=Parametry!$C$9,Parametry!$C$8,Parametry!$C$10)/12,MAX(1,Parametry!$C$6-C237),L237),2))</f>
        <v/>
      </c>
      <c r="J237" s="20">
        <f>IF(D237&lt;=0,0,MIN(G237+N(H237),D237+F237))</f>
        <v/>
      </c>
      <c r="K237" s="16">
        <f>IF(J237&lt;=0,0,MAX(0,J237-F237))</f>
        <v/>
      </c>
      <c r="L237" s="20">
        <f>IF(D237&lt;=0,0,MAX(0,D237-K237))</f>
        <v/>
      </c>
      <c r="M237" s="21">
        <f>IF(OR(L237&lt;=0,G237&lt;=L237*E237/12),0,MAX(0,ROUNDUP(-LN(1-L237*(E237/12)/G237)/LN(1+E237/12),0)))</f>
        <v/>
      </c>
    </row>
    <row r="238" ht="18" customHeight="1">
      <c r="A238" s="22" t="n">
        <v>236</v>
      </c>
      <c r="B238" s="23">
        <f>IF(C238&lt;=Parametry!$C$6,DATE(Parametry!$C$12+INT((Parametry!$C$13+236-2)/12),MOD(Parametry!$C$13+236-2,12)+1,Parametry!$C$11),"")</f>
        <v/>
      </c>
      <c r="C238" s="24" t="n">
        <v>236</v>
      </c>
      <c r="D238" s="25">
        <f>IF(C238&lt;=Parametry!$C$6,L237,0)</f>
        <v/>
      </c>
      <c r="E238" s="26">
        <f>IF(OR(D238&lt;=0,C238&gt;Parametry!$C$6),0,IF(C238&lt;=Parametry!$C$9,Parametry!$C$8,Parametry!$C$10))</f>
        <v/>
      </c>
      <c r="F238" s="25">
        <f>IF(D238&lt;=0,0,D238*E238/12)</f>
        <v/>
      </c>
      <c r="G238" s="25">
        <f>IF(OR(D238&lt;=0,C238&gt;Parametry!$C$6),0,ROUND(-PMT(E238/12,MAX(1,Parametry!$C$6-C238+1),D238),2))</f>
        <v/>
      </c>
      <c r="H238" s="18" t="n"/>
      <c r="I238" s="19">
        <f>IF(OR(L238&lt;=0,C238&gt;=Parametry!$C$6),0,ROUND(-PMT(IF(C238+1&lt;=Parametry!$C$9,Parametry!$C$8,Parametry!$C$10)/12,MAX(1,Parametry!$C$6-C238),L238),2))</f>
        <v/>
      </c>
      <c r="J238" s="27">
        <f>IF(D238&lt;=0,0,MIN(G238+N(H238),D238+F238))</f>
        <v/>
      </c>
      <c r="K238" s="25">
        <f>IF(J238&lt;=0,0,MAX(0,J238-F238))</f>
        <v/>
      </c>
      <c r="L238" s="27">
        <f>IF(D238&lt;=0,0,MAX(0,D238-K238))</f>
        <v/>
      </c>
      <c r="M238" s="28">
        <f>IF(OR(L238&lt;=0,G238&lt;=L238*E238/12),0,MAX(0,ROUNDUP(-LN(1-L238*(E238/12)/G238)/LN(1+E238/12),0)))</f>
        <v/>
      </c>
    </row>
    <row r="239" ht="18" customHeight="1">
      <c r="A239" s="13" t="n">
        <v>237</v>
      </c>
      <c r="B239" s="14">
        <f>IF(C239&lt;=Parametry!$C$6,DATE(Parametry!$C$12+INT((Parametry!$C$13+237-2)/12),MOD(Parametry!$C$13+237-2,12)+1,Parametry!$C$11),"")</f>
        <v/>
      </c>
      <c r="C239" s="15" t="n">
        <v>237</v>
      </c>
      <c r="D239" s="16">
        <f>IF(C239&lt;=Parametry!$C$6,L238,0)</f>
        <v/>
      </c>
      <c r="E239" s="17">
        <f>IF(OR(D239&lt;=0,C239&gt;Parametry!$C$6),0,IF(C239&lt;=Parametry!$C$9,Parametry!$C$8,Parametry!$C$10))</f>
        <v/>
      </c>
      <c r="F239" s="16">
        <f>IF(D239&lt;=0,0,D239*E239/12)</f>
        <v/>
      </c>
      <c r="G239" s="16">
        <f>IF(OR(D239&lt;=0,C239&gt;Parametry!$C$6),0,ROUND(-PMT(E239/12,MAX(1,Parametry!$C$6-C239+1),D239),2))</f>
        <v/>
      </c>
      <c r="H239" s="18" t="n"/>
      <c r="I239" s="19">
        <f>IF(OR(L239&lt;=0,C239&gt;=Parametry!$C$6),0,ROUND(-PMT(IF(C239+1&lt;=Parametry!$C$9,Parametry!$C$8,Parametry!$C$10)/12,MAX(1,Parametry!$C$6-C239),L239),2))</f>
        <v/>
      </c>
      <c r="J239" s="20">
        <f>IF(D239&lt;=0,0,MIN(G239+N(H239),D239+F239))</f>
        <v/>
      </c>
      <c r="K239" s="16">
        <f>IF(J239&lt;=0,0,MAX(0,J239-F239))</f>
        <v/>
      </c>
      <c r="L239" s="20">
        <f>IF(D239&lt;=0,0,MAX(0,D239-K239))</f>
        <v/>
      </c>
      <c r="M239" s="21">
        <f>IF(OR(L239&lt;=0,G239&lt;=L239*E239/12),0,MAX(0,ROUNDUP(-LN(1-L239*(E239/12)/G239)/LN(1+E239/12),0)))</f>
        <v/>
      </c>
    </row>
    <row r="240" ht="18" customHeight="1">
      <c r="A240" s="22" t="n">
        <v>238</v>
      </c>
      <c r="B240" s="23">
        <f>IF(C240&lt;=Parametry!$C$6,DATE(Parametry!$C$12+INT((Parametry!$C$13+238-2)/12),MOD(Parametry!$C$13+238-2,12)+1,Parametry!$C$11),"")</f>
        <v/>
      </c>
      <c r="C240" s="24" t="n">
        <v>238</v>
      </c>
      <c r="D240" s="25">
        <f>IF(C240&lt;=Parametry!$C$6,L239,0)</f>
        <v/>
      </c>
      <c r="E240" s="26">
        <f>IF(OR(D240&lt;=0,C240&gt;Parametry!$C$6),0,IF(C240&lt;=Parametry!$C$9,Parametry!$C$8,Parametry!$C$10))</f>
        <v/>
      </c>
      <c r="F240" s="25">
        <f>IF(D240&lt;=0,0,D240*E240/12)</f>
        <v/>
      </c>
      <c r="G240" s="25">
        <f>IF(OR(D240&lt;=0,C240&gt;Parametry!$C$6),0,ROUND(-PMT(E240/12,MAX(1,Parametry!$C$6-C240+1),D240),2))</f>
        <v/>
      </c>
      <c r="H240" s="18" t="n"/>
      <c r="I240" s="19">
        <f>IF(OR(L240&lt;=0,C240&gt;=Parametry!$C$6),0,ROUND(-PMT(IF(C240+1&lt;=Parametry!$C$9,Parametry!$C$8,Parametry!$C$10)/12,MAX(1,Parametry!$C$6-C240),L240),2))</f>
        <v/>
      </c>
      <c r="J240" s="27">
        <f>IF(D240&lt;=0,0,MIN(G240+N(H240),D240+F240))</f>
        <v/>
      </c>
      <c r="K240" s="25">
        <f>IF(J240&lt;=0,0,MAX(0,J240-F240))</f>
        <v/>
      </c>
      <c r="L240" s="27">
        <f>IF(D240&lt;=0,0,MAX(0,D240-K240))</f>
        <v/>
      </c>
      <c r="M240" s="28">
        <f>IF(OR(L240&lt;=0,G240&lt;=L240*E240/12),0,MAX(0,ROUNDUP(-LN(1-L240*(E240/12)/G240)/LN(1+E240/12),0)))</f>
        <v/>
      </c>
    </row>
    <row r="241" ht="18" customHeight="1">
      <c r="A241" s="13" t="n">
        <v>239</v>
      </c>
      <c r="B241" s="14">
        <f>IF(C241&lt;=Parametry!$C$6,DATE(Parametry!$C$12+INT((Parametry!$C$13+239-2)/12),MOD(Parametry!$C$13+239-2,12)+1,Parametry!$C$11),"")</f>
        <v/>
      </c>
      <c r="C241" s="15" t="n">
        <v>239</v>
      </c>
      <c r="D241" s="16">
        <f>IF(C241&lt;=Parametry!$C$6,L240,0)</f>
        <v/>
      </c>
      <c r="E241" s="17">
        <f>IF(OR(D241&lt;=0,C241&gt;Parametry!$C$6),0,IF(C241&lt;=Parametry!$C$9,Parametry!$C$8,Parametry!$C$10))</f>
        <v/>
      </c>
      <c r="F241" s="16">
        <f>IF(D241&lt;=0,0,D241*E241/12)</f>
        <v/>
      </c>
      <c r="G241" s="16">
        <f>IF(OR(D241&lt;=0,C241&gt;Parametry!$C$6),0,ROUND(-PMT(E241/12,MAX(1,Parametry!$C$6-C241+1),D241),2))</f>
        <v/>
      </c>
      <c r="H241" s="18" t="n"/>
      <c r="I241" s="19">
        <f>IF(OR(L241&lt;=0,C241&gt;=Parametry!$C$6),0,ROUND(-PMT(IF(C241+1&lt;=Parametry!$C$9,Parametry!$C$8,Parametry!$C$10)/12,MAX(1,Parametry!$C$6-C241),L241),2))</f>
        <v/>
      </c>
      <c r="J241" s="20">
        <f>IF(D241&lt;=0,0,MIN(G241+N(H241),D241+F241))</f>
        <v/>
      </c>
      <c r="K241" s="16">
        <f>IF(J241&lt;=0,0,MAX(0,J241-F241))</f>
        <v/>
      </c>
      <c r="L241" s="20">
        <f>IF(D241&lt;=0,0,MAX(0,D241-K241))</f>
        <v/>
      </c>
      <c r="M241" s="21">
        <f>IF(OR(L241&lt;=0,G241&lt;=L241*E241/12),0,MAX(0,ROUNDUP(-LN(1-L241*(E241/12)/G241)/LN(1+E241/12),0)))</f>
        <v/>
      </c>
    </row>
    <row r="242" ht="18" customHeight="1">
      <c r="A242" s="22" t="n">
        <v>240</v>
      </c>
      <c r="B242" s="23">
        <f>IF(C242&lt;=Parametry!$C$6,DATE(Parametry!$C$12+INT((Parametry!$C$13+240-2)/12),MOD(Parametry!$C$13+240-2,12)+1,Parametry!$C$11),"")</f>
        <v/>
      </c>
      <c r="C242" s="24" t="n">
        <v>240</v>
      </c>
      <c r="D242" s="25">
        <f>IF(C242&lt;=Parametry!$C$6,L241,0)</f>
        <v/>
      </c>
      <c r="E242" s="26">
        <f>IF(OR(D242&lt;=0,C242&gt;Parametry!$C$6),0,IF(C242&lt;=Parametry!$C$9,Parametry!$C$8,Parametry!$C$10))</f>
        <v/>
      </c>
      <c r="F242" s="25">
        <f>IF(D242&lt;=0,0,D242*E242/12)</f>
        <v/>
      </c>
      <c r="G242" s="25">
        <f>IF(OR(D242&lt;=0,C242&gt;Parametry!$C$6),0,ROUND(-PMT(E242/12,MAX(1,Parametry!$C$6-C242+1),D242),2))</f>
        <v/>
      </c>
      <c r="H242" s="18" t="n"/>
      <c r="I242" s="19">
        <f>IF(OR(L242&lt;=0,C242&gt;=Parametry!$C$6),0,ROUND(-PMT(IF(C242+1&lt;=Parametry!$C$9,Parametry!$C$8,Parametry!$C$10)/12,MAX(1,Parametry!$C$6-C242),L242),2))</f>
        <v/>
      </c>
      <c r="J242" s="27">
        <f>IF(D242&lt;=0,0,MIN(G242+N(H242),D242+F242))</f>
        <v/>
      </c>
      <c r="K242" s="25">
        <f>IF(J242&lt;=0,0,MAX(0,J242-F242))</f>
        <v/>
      </c>
      <c r="L242" s="27">
        <f>IF(D242&lt;=0,0,MAX(0,D242-K242))</f>
        <v/>
      </c>
      <c r="M242" s="28">
        <f>IF(OR(L242&lt;=0,G242&lt;=L242*E242/12),0,MAX(0,ROUNDUP(-LN(1-L242*(E242/12)/G242)/LN(1+E242/12),0)))</f>
        <v/>
      </c>
    </row>
    <row r="243" ht="18" customHeight="1">
      <c r="A243" s="13" t="n">
        <v>241</v>
      </c>
      <c r="B243" s="14">
        <f>IF(C243&lt;=Parametry!$C$6,DATE(Parametry!$C$12+INT((Parametry!$C$13+241-2)/12),MOD(Parametry!$C$13+241-2,12)+1,Parametry!$C$11),"")</f>
        <v/>
      </c>
      <c r="C243" s="15" t="n">
        <v>241</v>
      </c>
      <c r="D243" s="16">
        <f>IF(C243&lt;=Parametry!$C$6,L242,0)</f>
        <v/>
      </c>
      <c r="E243" s="17">
        <f>IF(OR(D243&lt;=0,C243&gt;Parametry!$C$6),0,IF(C243&lt;=Parametry!$C$9,Parametry!$C$8,Parametry!$C$10))</f>
        <v/>
      </c>
      <c r="F243" s="16">
        <f>IF(D243&lt;=0,0,D243*E243/12)</f>
        <v/>
      </c>
      <c r="G243" s="16">
        <f>IF(OR(D243&lt;=0,C243&gt;Parametry!$C$6),0,ROUND(-PMT(E243/12,MAX(1,Parametry!$C$6-C243+1),D243),2))</f>
        <v/>
      </c>
      <c r="H243" s="18" t="n"/>
      <c r="I243" s="19">
        <f>IF(OR(L243&lt;=0,C243&gt;=Parametry!$C$6),0,ROUND(-PMT(IF(C243+1&lt;=Parametry!$C$9,Parametry!$C$8,Parametry!$C$10)/12,MAX(1,Parametry!$C$6-C243),L243),2))</f>
        <v/>
      </c>
      <c r="J243" s="20">
        <f>IF(D243&lt;=0,0,MIN(G243+N(H243),D243+F243))</f>
        <v/>
      </c>
      <c r="K243" s="16">
        <f>IF(J243&lt;=0,0,MAX(0,J243-F243))</f>
        <v/>
      </c>
      <c r="L243" s="20">
        <f>IF(D243&lt;=0,0,MAX(0,D243-K243))</f>
        <v/>
      </c>
      <c r="M243" s="21">
        <f>IF(OR(L243&lt;=0,G243&lt;=L243*E243/12),0,MAX(0,ROUNDUP(-LN(1-L243*(E243/12)/G243)/LN(1+E243/12),0)))</f>
        <v/>
      </c>
    </row>
    <row r="244" ht="18" customHeight="1">
      <c r="A244" s="22" t="n">
        <v>242</v>
      </c>
      <c r="B244" s="23">
        <f>IF(C244&lt;=Parametry!$C$6,DATE(Parametry!$C$12+INT((Parametry!$C$13+242-2)/12),MOD(Parametry!$C$13+242-2,12)+1,Parametry!$C$11),"")</f>
        <v/>
      </c>
      <c r="C244" s="24" t="n">
        <v>242</v>
      </c>
      <c r="D244" s="25">
        <f>IF(C244&lt;=Parametry!$C$6,L243,0)</f>
        <v/>
      </c>
      <c r="E244" s="26">
        <f>IF(OR(D244&lt;=0,C244&gt;Parametry!$C$6),0,IF(C244&lt;=Parametry!$C$9,Parametry!$C$8,Parametry!$C$10))</f>
        <v/>
      </c>
      <c r="F244" s="25">
        <f>IF(D244&lt;=0,0,D244*E244/12)</f>
        <v/>
      </c>
      <c r="G244" s="25">
        <f>IF(OR(D244&lt;=0,C244&gt;Parametry!$C$6),0,ROUND(-PMT(E244/12,MAX(1,Parametry!$C$6-C244+1),D244),2))</f>
        <v/>
      </c>
      <c r="H244" s="18" t="n"/>
      <c r="I244" s="19">
        <f>IF(OR(L244&lt;=0,C244&gt;=Parametry!$C$6),0,ROUND(-PMT(IF(C244+1&lt;=Parametry!$C$9,Parametry!$C$8,Parametry!$C$10)/12,MAX(1,Parametry!$C$6-C244),L244),2))</f>
        <v/>
      </c>
      <c r="J244" s="27">
        <f>IF(D244&lt;=0,0,MIN(G244+N(H244),D244+F244))</f>
        <v/>
      </c>
      <c r="K244" s="25">
        <f>IF(J244&lt;=0,0,MAX(0,J244-F244))</f>
        <v/>
      </c>
      <c r="L244" s="27">
        <f>IF(D244&lt;=0,0,MAX(0,D244-K244))</f>
        <v/>
      </c>
      <c r="M244" s="28">
        <f>IF(OR(L244&lt;=0,G244&lt;=L244*E244/12),0,MAX(0,ROUNDUP(-LN(1-L244*(E244/12)/G244)/LN(1+E244/12),0)))</f>
        <v/>
      </c>
    </row>
    <row r="245" ht="18" customHeight="1">
      <c r="A245" s="13" t="n">
        <v>243</v>
      </c>
      <c r="B245" s="14">
        <f>IF(C245&lt;=Parametry!$C$6,DATE(Parametry!$C$12+INT((Parametry!$C$13+243-2)/12),MOD(Parametry!$C$13+243-2,12)+1,Parametry!$C$11),"")</f>
        <v/>
      </c>
      <c r="C245" s="15" t="n">
        <v>243</v>
      </c>
      <c r="D245" s="16">
        <f>IF(C245&lt;=Parametry!$C$6,L244,0)</f>
        <v/>
      </c>
      <c r="E245" s="17">
        <f>IF(OR(D245&lt;=0,C245&gt;Parametry!$C$6),0,IF(C245&lt;=Parametry!$C$9,Parametry!$C$8,Parametry!$C$10))</f>
        <v/>
      </c>
      <c r="F245" s="16">
        <f>IF(D245&lt;=0,0,D245*E245/12)</f>
        <v/>
      </c>
      <c r="G245" s="16">
        <f>IF(OR(D245&lt;=0,C245&gt;Parametry!$C$6),0,ROUND(-PMT(E245/12,MAX(1,Parametry!$C$6-C245+1),D245),2))</f>
        <v/>
      </c>
      <c r="H245" s="18" t="n"/>
      <c r="I245" s="19">
        <f>IF(OR(L245&lt;=0,C245&gt;=Parametry!$C$6),0,ROUND(-PMT(IF(C245+1&lt;=Parametry!$C$9,Parametry!$C$8,Parametry!$C$10)/12,MAX(1,Parametry!$C$6-C245),L245),2))</f>
        <v/>
      </c>
      <c r="J245" s="20">
        <f>IF(D245&lt;=0,0,MIN(G245+N(H245),D245+F245))</f>
        <v/>
      </c>
      <c r="K245" s="16">
        <f>IF(J245&lt;=0,0,MAX(0,J245-F245))</f>
        <v/>
      </c>
      <c r="L245" s="20">
        <f>IF(D245&lt;=0,0,MAX(0,D245-K245))</f>
        <v/>
      </c>
      <c r="M245" s="21">
        <f>IF(OR(L245&lt;=0,G245&lt;=L245*E245/12),0,MAX(0,ROUNDUP(-LN(1-L245*(E245/12)/G245)/LN(1+E245/12),0)))</f>
        <v/>
      </c>
    </row>
    <row r="246" ht="18" customHeight="1">
      <c r="A246" s="22" t="n">
        <v>244</v>
      </c>
      <c r="B246" s="23">
        <f>IF(C246&lt;=Parametry!$C$6,DATE(Parametry!$C$12+INT((Parametry!$C$13+244-2)/12),MOD(Parametry!$C$13+244-2,12)+1,Parametry!$C$11),"")</f>
        <v/>
      </c>
      <c r="C246" s="24" t="n">
        <v>244</v>
      </c>
      <c r="D246" s="25">
        <f>IF(C246&lt;=Parametry!$C$6,L245,0)</f>
        <v/>
      </c>
      <c r="E246" s="26">
        <f>IF(OR(D246&lt;=0,C246&gt;Parametry!$C$6),0,IF(C246&lt;=Parametry!$C$9,Parametry!$C$8,Parametry!$C$10))</f>
        <v/>
      </c>
      <c r="F246" s="25">
        <f>IF(D246&lt;=0,0,D246*E246/12)</f>
        <v/>
      </c>
      <c r="G246" s="25">
        <f>IF(OR(D246&lt;=0,C246&gt;Parametry!$C$6),0,ROUND(-PMT(E246/12,MAX(1,Parametry!$C$6-C246+1),D246),2))</f>
        <v/>
      </c>
      <c r="H246" s="18" t="n"/>
      <c r="I246" s="19">
        <f>IF(OR(L246&lt;=0,C246&gt;=Parametry!$C$6),0,ROUND(-PMT(IF(C246+1&lt;=Parametry!$C$9,Parametry!$C$8,Parametry!$C$10)/12,MAX(1,Parametry!$C$6-C246),L246),2))</f>
        <v/>
      </c>
      <c r="J246" s="27">
        <f>IF(D246&lt;=0,0,MIN(G246+N(H246),D246+F246))</f>
        <v/>
      </c>
      <c r="K246" s="25">
        <f>IF(J246&lt;=0,0,MAX(0,J246-F246))</f>
        <v/>
      </c>
      <c r="L246" s="27">
        <f>IF(D246&lt;=0,0,MAX(0,D246-K246))</f>
        <v/>
      </c>
      <c r="M246" s="28">
        <f>IF(OR(L246&lt;=0,G246&lt;=L246*E246/12),0,MAX(0,ROUNDUP(-LN(1-L246*(E246/12)/G246)/LN(1+E246/12),0)))</f>
        <v/>
      </c>
    </row>
    <row r="247" ht="18" customHeight="1">
      <c r="A247" s="13" t="n">
        <v>245</v>
      </c>
      <c r="B247" s="14">
        <f>IF(C247&lt;=Parametry!$C$6,DATE(Parametry!$C$12+INT((Parametry!$C$13+245-2)/12),MOD(Parametry!$C$13+245-2,12)+1,Parametry!$C$11),"")</f>
        <v/>
      </c>
      <c r="C247" s="15" t="n">
        <v>245</v>
      </c>
      <c r="D247" s="16">
        <f>IF(C247&lt;=Parametry!$C$6,L246,0)</f>
        <v/>
      </c>
      <c r="E247" s="17">
        <f>IF(OR(D247&lt;=0,C247&gt;Parametry!$C$6),0,IF(C247&lt;=Parametry!$C$9,Parametry!$C$8,Parametry!$C$10))</f>
        <v/>
      </c>
      <c r="F247" s="16">
        <f>IF(D247&lt;=0,0,D247*E247/12)</f>
        <v/>
      </c>
      <c r="G247" s="16">
        <f>IF(OR(D247&lt;=0,C247&gt;Parametry!$C$6),0,ROUND(-PMT(E247/12,MAX(1,Parametry!$C$6-C247+1),D247),2))</f>
        <v/>
      </c>
      <c r="H247" s="18" t="n"/>
      <c r="I247" s="19">
        <f>IF(OR(L247&lt;=0,C247&gt;=Parametry!$C$6),0,ROUND(-PMT(IF(C247+1&lt;=Parametry!$C$9,Parametry!$C$8,Parametry!$C$10)/12,MAX(1,Parametry!$C$6-C247),L247),2))</f>
        <v/>
      </c>
      <c r="J247" s="20">
        <f>IF(D247&lt;=0,0,MIN(G247+N(H247),D247+F247))</f>
        <v/>
      </c>
      <c r="K247" s="16">
        <f>IF(J247&lt;=0,0,MAX(0,J247-F247))</f>
        <v/>
      </c>
      <c r="L247" s="20">
        <f>IF(D247&lt;=0,0,MAX(0,D247-K247))</f>
        <v/>
      </c>
      <c r="M247" s="21">
        <f>IF(OR(L247&lt;=0,G247&lt;=L247*E247/12),0,MAX(0,ROUNDUP(-LN(1-L247*(E247/12)/G247)/LN(1+E247/12),0)))</f>
        <v/>
      </c>
    </row>
    <row r="248" ht="18" customHeight="1">
      <c r="A248" s="22" t="n">
        <v>246</v>
      </c>
      <c r="B248" s="23">
        <f>IF(C248&lt;=Parametry!$C$6,DATE(Parametry!$C$12+INT((Parametry!$C$13+246-2)/12),MOD(Parametry!$C$13+246-2,12)+1,Parametry!$C$11),"")</f>
        <v/>
      </c>
      <c r="C248" s="24" t="n">
        <v>246</v>
      </c>
      <c r="D248" s="25">
        <f>IF(C248&lt;=Parametry!$C$6,L247,0)</f>
        <v/>
      </c>
      <c r="E248" s="26">
        <f>IF(OR(D248&lt;=0,C248&gt;Parametry!$C$6),0,IF(C248&lt;=Parametry!$C$9,Parametry!$C$8,Parametry!$C$10))</f>
        <v/>
      </c>
      <c r="F248" s="25">
        <f>IF(D248&lt;=0,0,D248*E248/12)</f>
        <v/>
      </c>
      <c r="G248" s="25">
        <f>IF(OR(D248&lt;=0,C248&gt;Parametry!$C$6),0,ROUND(-PMT(E248/12,MAX(1,Parametry!$C$6-C248+1),D248),2))</f>
        <v/>
      </c>
      <c r="H248" s="18" t="n"/>
      <c r="I248" s="19">
        <f>IF(OR(L248&lt;=0,C248&gt;=Parametry!$C$6),0,ROUND(-PMT(IF(C248+1&lt;=Parametry!$C$9,Parametry!$C$8,Parametry!$C$10)/12,MAX(1,Parametry!$C$6-C248),L248),2))</f>
        <v/>
      </c>
      <c r="J248" s="27">
        <f>IF(D248&lt;=0,0,MIN(G248+N(H248),D248+F248))</f>
        <v/>
      </c>
      <c r="K248" s="25">
        <f>IF(J248&lt;=0,0,MAX(0,J248-F248))</f>
        <v/>
      </c>
      <c r="L248" s="27">
        <f>IF(D248&lt;=0,0,MAX(0,D248-K248))</f>
        <v/>
      </c>
      <c r="M248" s="28">
        <f>IF(OR(L248&lt;=0,G248&lt;=L248*E248/12),0,MAX(0,ROUNDUP(-LN(1-L248*(E248/12)/G248)/LN(1+E248/12),0)))</f>
        <v/>
      </c>
    </row>
    <row r="249" ht="18" customHeight="1">
      <c r="A249" s="13" t="n">
        <v>247</v>
      </c>
      <c r="B249" s="14">
        <f>IF(C249&lt;=Parametry!$C$6,DATE(Parametry!$C$12+INT((Parametry!$C$13+247-2)/12),MOD(Parametry!$C$13+247-2,12)+1,Parametry!$C$11),"")</f>
        <v/>
      </c>
      <c r="C249" s="15" t="n">
        <v>247</v>
      </c>
      <c r="D249" s="16">
        <f>IF(C249&lt;=Parametry!$C$6,L248,0)</f>
        <v/>
      </c>
      <c r="E249" s="17">
        <f>IF(OR(D249&lt;=0,C249&gt;Parametry!$C$6),0,IF(C249&lt;=Parametry!$C$9,Parametry!$C$8,Parametry!$C$10))</f>
        <v/>
      </c>
      <c r="F249" s="16">
        <f>IF(D249&lt;=0,0,D249*E249/12)</f>
        <v/>
      </c>
      <c r="G249" s="16">
        <f>IF(OR(D249&lt;=0,C249&gt;Parametry!$C$6),0,ROUND(-PMT(E249/12,MAX(1,Parametry!$C$6-C249+1),D249),2))</f>
        <v/>
      </c>
      <c r="H249" s="18" t="n"/>
      <c r="I249" s="19">
        <f>IF(OR(L249&lt;=0,C249&gt;=Parametry!$C$6),0,ROUND(-PMT(IF(C249+1&lt;=Parametry!$C$9,Parametry!$C$8,Parametry!$C$10)/12,MAX(1,Parametry!$C$6-C249),L249),2))</f>
        <v/>
      </c>
      <c r="J249" s="20">
        <f>IF(D249&lt;=0,0,MIN(G249+N(H249),D249+F249))</f>
        <v/>
      </c>
      <c r="K249" s="16">
        <f>IF(J249&lt;=0,0,MAX(0,J249-F249))</f>
        <v/>
      </c>
      <c r="L249" s="20">
        <f>IF(D249&lt;=0,0,MAX(0,D249-K249))</f>
        <v/>
      </c>
      <c r="M249" s="21">
        <f>IF(OR(L249&lt;=0,G249&lt;=L249*E249/12),0,MAX(0,ROUNDUP(-LN(1-L249*(E249/12)/G249)/LN(1+E249/12),0)))</f>
        <v/>
      </c>
    </row>
    <row r="250" ht="18" customHeight="1">
      <c r="A250" s="22" t="n">
        <v>248</v>
      </c>
      <c r="B250" s="23">
        <f>IF(C250&lt;=Parametry!$C$6,DATE(Parametry!$C$12+INT((Parametry!$C$13+248-2)/12),MOD(Parametry!$C$13+248-2,12)+1,Parametry!$C$11),"")</f>
        <v/>
      </c>
      <c r="C250" s="24" t="n">
        <v>248</v>
      </c>
      <c r="D250" s="25">
        <f>IF(C250&lt;=Parametry!$C$6,L249,0)</f>
        <v/>
      </c>
      <c r="E250" s="26">
        <f>IF(OR(D250&lt;=0,C250&gt;Parametry!$C$6),0,IF(C250&lt;=Parametry!$C$9,Parametry!$C$8,Parametry!$C$10))</f>
        <v/>
      </c>
      <c r="F250" s="25">
        <f>IF(D250&lt;=0,0,D250*E250/12)</f>
        <v/>
      </c>
      <c r="G250" s="25">
        <f>IF(OR(D250&lt;=0,C250&gt;Parametry!$C$6),0,ROUND(-PMT(E250/12,MAX(1,Parametry!$C$6-C250+1),D250),2))</f>
        <v/>
      </c>
      <c r="H250" s="18" t="n"/>
      <c r="I250" s="19">
        <f>IF(OR(L250&lt;=0,C250&gt;=Parametry!$C$6),0,ROUND(-PMT(IF(C250+1&lt;=Parametry!$C$9,Parametry!$C$8,Parametry!$C$10)/12,MAX(1,Parametry!$C$6-C250),L250),2))</f>
        <v/>
      </c>
      <c r="J250" s="27">
        <f>IF(D250&lt;=0,0,MIN(G250+N(H250),D250+F250))</f>
        <v/>
      </c>
      <c r="K250" s="25">
        <f>IF(J250&lt;=0,0,MAX(0,J250-F250))</f>
        <v/>
      </c>
      <c r="L250" s="27">
        <f>IF(D250&lt;=0,0,MAX(0,D250-K250))</f>
        <v/>
      </c>
      <c r="M250" s="28">
        <f>IF(OR(L250&lt;=0,G250&lt;=L250*E250/12),0,MAX(0,ROUNDUP(-LN(1-L250*(E250/12)/G250)/LN(1+E250/12),0)))</f>
        <v/>
      </c>
    </row>
    <row r="251" ht="18" customHeight="1">
      <c r="A251" s="13" t="n">
        <v>249</v>
      </c>
      <c r="B251" s="14">
        <f>IF(C251&lt;=Parametry!$C$6,DATE(Parametry!$C$12+INT((Parametry!$C$13+249-2)/12),MOD(Parametry!$C$13+249-2,12)+1,Parametry!$C$11),"")</f>
        <v/>
      </c>
      <c r="C251" s="15" t="n">
        <v>249</v>
      </c>
      <c r="D251" s="16">
        <f>IF(C251&lt;=Parametry!$C$6,L250,0)</f>
        <v/>
      </c>
      <c r="E251" s="17">
        <f>IF(OR(D251&lt;=0,C251&gt;Parametry!$C$6),0,IF(C251&lt;=Parametry!$C$9,Parametry!$C$8,Parametry!$C$10))</f>
        <v/>
      </c>
      <c r="F251" s="16">
        <f>IF(D251&lt;=0,0,D251*E251/12)</f>
        <v/>
      </c>
      <c r="G251" s="16">
        <f>IF(OR(D251&lt;=0,C251&gt;Parametry!$C$6),0,ROUND(-PMT(E251/12,MAX(1,Parametry!$C$6-C251+1),D251),2))</f>
        <v/>
      </c>
      <c r="H251" s="18" t="n"/>
      <c r="I251" s="19">
        <f>IF(OR(L251&lt;=0,C251&gt;=Parametry!$C$6),0,ROUND(-PMT(IF(C251+1&lt;=Parametry!$C$9,Parametry!$C$8,Parametry!$C$10)/12,MAX(1,Parametry!$C$6-C251),L251),2))</f>
        <v/>
      </c>
      <c r="J251" s="20">
        <f>IF(D251&lt;=0,0,MIN(G251+N(H251),D251+F251))</f>
        <v/>
      </c>
      <c r="K251" s="16">
        <f>IF(J251&lt;=0,0,MAX(0,J251-F251))</f>
        <v/>
      </c>
      <c r="L251" s="20">
        <f>IF(D251&lt;=0,0,MAX(0,D251-K251))</f>
        <v/>
      </c>
      <c r="M251" s="21">
        <f>IF(OR(L251&lt;=0,G251&lt;=L251*E251/12),0,MAX(0,ROUNDUP(-LN(1-L251*(E251/12)/G251)/LN(1+E251/12),0)))</f>
        <v/>
      </c>
    </row>
    <row r="252" ht="18" customHeight="1">
      <c r="A252" s="22" t="n">
        <v>250</v>
      </c>
      <c r="B252" s="23">
        <f>IF(C252&lt;=Parametry!$C$6,DATE(Parametry!$C$12+INT((Parametry!$C$13+250-2)/12),MOD(Parametry!$C$13+250-2,12)+1,Parametry!$C$11),"")</f>
        <v/>
      </c>
      <c r="C252" s="24" t="n">
        <v>250</v>
      </c>
      <c r="D252" s="25">
        <f>IF(C252&lt;=Parametry!$C$6,L251,0)</f>
        <v/>
      </c>
      <c r="E252" s="26">
        <f>IF(OR(D252&lt;=0,C252&gt;Parametry!$C$6),0,IF(C252&lt;=Parametry!$C$9,Parametry!$C$8,Parametry!$C$10))</f>
        <v/>
      </c>
      <c r="F252" s="25">
        <f>IF(D252&lt;=0,0,D252*E252/12)</f>
        <v/>
      </c>
      <c r="G252" s="25">
        <f>IF(OR(D252&lt;=0,C252&gt;Parametry!$C$6),0,ROUND(-PMT(E252/12,MAX(1,Parametry!$C$6-C252+1),D252),2))</f>
        <v/>
      </c>
      <c r="H252" s="18" t="n"/>
      <c r="I252" s="19">
        <f>IF(OR(L252&lt;=0,C252&gt;=Parametry!$C$6),0,ROUND(-PMT(IF(C252+1&lt;=Parametry!$C$9,Parametry!$C$8,Parametry!$C$10)/12,MAX(1,Parametry!$C$6-C252),L252),2))</f>
        <v/>
      </c>
      <c r="J252" s="27">
        <f>IF(D252&lt;=0,0,MIN(G252+N(H252),D252+F252))</f>
        <v/>
      </c>
      <c r="K252" s="25">
        <f>IF(J252&lt;=0,0,MAX(0,J252-F252))</f>
        <v/>
      </c>
      <c r="L252" s="27">
        <f>IF(D252&lt;=0,0,MAX(0,D252-K252))</f>
        <v/>
      </c>
      <c r="M252" s="28">
        <f>IF(OR(L252&lt;=0,G252&lt;=L252*E252/12),0,MAX(0,ROUNDUP(-LN(1-L252*(E252/12)/G252)/LN(1+E252/12),0)))</f>
        <v/>
      </c>
    </row>
    <row r="253" ht="18" customHeight="1">
      <c r="A253" s="13" t="n">
        <v>251</v>
      </c>
      <c r="B253" s="14">
        <f>IF(C253&lt;=Parametry!$C$6,DATE(Parametry!$C$12+INT((Parametry!$C$13+251-2)/12),MOD(Parametry!$C$13+251-2,12)+1,Parametry!$C$11),"")</f>
        <v/>
      </c>
      <c r="C253" s="15" t="n">
        <v>251</v>
      </c>
      <c r="D253" s="16">
        <f>IF(C253&lt;=Parametry!$C$6,L252,0)</f>
        <v/>
      </c>
      <c r="E253" s="17">
        <f>IF(OR(D253&lt;=0,C253&gt;Parametry!$C$6),0,IF(C253&lt;=Parametry!$C$9,Parametry!$C$8,Parametry!$C$10))</f>
        <v/>
      </c>
      <c r="F253" s="16">
        <f>IF(D253&lt;=0,0,D253*E253/12)</f>
        <v/>
      </c>
      <c r="G253" s="16">
        <f>IF(OR(D253&lt;=0,C253&gt;Parametry!$C$6),0,ROUND(-PMT(E253/12,MAX(1,Parametry!$C$6-C253+1),D253),2))</f>
        <v/>
      </c>
      <c r="H253" s="18" t="n"/>
      <c r="I253" s="19">
        <f>IF(OR(L253&lt;=0,C253&gt;=Parametry!$C$6),0,ROUND(-PMT(IF(C253+1&lt;=Parametry!$C$9,Parametry!$C$8,Parametry!$C$10)/12,MAX(1,Parametry!$C$6-C253),L253),2))</f>
        <v/>
      </c>
      <c r="J253" s="20">
        <f>IF(D253&lt;=0,0,MIN(G253+N(H253),D253+F253))</f>
        <v/>
      </c>
      <c r="K253" s="16">
        <f>IF(J253&lt;=0,0,MAX(0,J253-F253))</f>
        <v/>
      </c>
      <c r="L253" s="20">
        <f>IF(D253&lt;=0,0,MAX(0,D253-K253))</f>
        <v/>
      </c>
      <c r="M253" s="21">
        <f>IF(OR(L253&lt;=0,G253&lt;=L253*E253/12),0,MAX(0,ROUNDUP(-LN(1-L253*(E253/12)/G253)/LN(1+E253/12),0)))</f>
        <v/>
      </c>
    </row>
    <row r="254" ht="18" customHeight="1">
      <c r="A254" s="22" t="n">
        <v>252</v>
      </c>
      <c r="B254" s="23">
        <f>IF(C254&lt;=Parametry!$C$6,DATE(Parametry!$C$12+INT((Parametry!$C$13+252-2)/12),MOD(Parametry!$C$13+252-2,12)+1,Parametry!$C$11),"")</f>
        <v/>
      </c>
      <c r="C254" s="24" t="n">
        <v>252</v>
      </c>
      <c r="D254" s="25">
        <f>IF(C254&lt;=Parametry!$C$6,L253,0)</f>
        <v/>
      </c>
      <c r="E254" s="26">
        <f>IF(OR(D254&lt;=0,C254&gt;Parametry!$C$6),0,IF(C254&lt;=Parametry!$C$9,Parametry!$C$8,Parametry!$C$10))</f>
        <v/>
      </c>
      <c r="F254" s="25">
        <f>IF(D254&lt;=0,0,D254*E254/12)</f>
        <v/>
      </c>
      <c r="G254" s="25">
        <f>IF(OR(D254&lt;=0,C254&gt;Parametry!$C$6),0,ROUND(-PMT(E254/12,MAX(1,Parametry!$C$6-C254+1),D254),2))</f>
        <v/>
      </c>
      <c r="H254" s="18" t="n"/>
      <c r="I254" s="19">
        <f>IF(OR(L254&lt;=0,C254&gt;=Parametry!$C$6),0,ROUND(-PMT(IF(C254+1&lt;=Parametry!$C$9,Parametry!$C$8,Parametry!$C$10)/12,MAX(1,Parametry!$C$6-C254),L254),2))</f>
        <v/>
      </c>
      <c r="J254" s="27">
        <f>IF(D254&lt;=0,0,MIN(G254+N(H254),D254+F254))</f>
        <v/>
      </c>
      <c r="K254" s="25">
        <f>IF(J254&lt;=0,0,MAX(0,J254-F254))</f>
        <v/>
      </c>
      <c r="L254" s="27">
        <f>IF(D254&lt;=0,0,MAX(0,D254-K254))</f>
        <v/>
      </c>
      <c r="M254" s="28">
        <f>IF(OR(L254&lt;=0,G254&lt;=L254*E254/12),0,MAX(0,ROUNDUP(-LN(1-L254*(E254/12)/G254)/LN(1+E254/12),0)))</f>
        <v/>
      </c>
    </row>
    <row r="255" ht="18" customHeight="1">
      <c r="A255" s="13" t="n">
        <v>253</v>
      </c>
      <c r="B255" s="14">
        <f>IF(C255&lt;=Parametry!$C$6,DATE(Parametry!$C$12+INT((Parametry!$C$13+253-2)/12),MOD(Parametry!$C$13+253-2,12)+1,Parametry!$C$11),"")</f>
        <v/>
      </c>
      <c r="C255" s="15" t="n">
        <v>253</v>
      </c>
      <c r="D255" s="16">
        <f>IF(C255&lt;=Parametry!$C$6,L254,0)</f>
        <v/>
      </c>
      <c r="E255" s="17">
        <f>IF(OR(D255&lt;=0,C255&gt;Parametry!$C$6),0,IF(C255&lt;=Parametry!$C$9,Parametry!$C$8,Parametry!$C$10))</f>
        <v/>
      </c>
      <c r="F255" s="16">
        <f>IF(D255&lt;=0,0,D255*E255/12)</f>
        <v/>
      </c>
      <c r="G255" s="16">
        <f>IF(OR(D255&lt;=0,C255&gt;Parametry!$C$6),0,ROUND(-PMT(E255/12,MAX(1,Parametry!$C$6-C255+1),D255),2))</f>
        <v/>
      </c>
      <c r="H255" s="18" t="n"/>
      <c r="I255" s="19">
        <f>IF(OR(L255&lt;=0,C255&gt;=Parametry!$C$6),0,ROUND(-PMT(IF(C255+1&lt;=Parametry!$C$9,Parametry!$C$8,Parametry!$C$10)/12,MAX(1,Parametry!$C$6-C255),L255),2))</f>
        <v/>
      </c>
      <c r="J255" s="20">
        <f>IF(D255&lt;=0,0,MIN(G255+N(H255),D255+F255))</f>
        <v/>
      </c>
      <c r="K255" s="16">
        <f>IF(J255&lt;=0,0,MAX(0,J255-F255))</f>
        <v/>
      </c>
      <c r="L255" s="20">
        <f>IF(D255&lt;=0,0,MAX(0,D255-K255))</f>
        <v/>
      </c>
      <c r="M255" s="21">
        <f>IF(OR(L255&lt;=0,G255&lt;=L255*E255/12),0,MAX(0,ROUNDUP(-LN(1-L255*(E255/12)/G255)/LN(1+E255/12),0)))</f>
        <v/>
      </c>
    </row>
    <row r="256" ht="18" customHeight="1">
      <c r="A256" s="22" t="n">
        <v>254</v>
      </c>
      <c r="B256" s="23">
        <f>IF(C256&lt;=Parametry!$C$6,DATE(Parametry!$C$12+INT((Parametry!$C$13+254-2)/12),MOD(Parametry!$C$13+254-2,12)+1,Parametry!$C$11),"")</f>
        <v/>
      </c>
      <c r="C256" s="24" t="n">
        <v>254</v>
      </c>
      <c r="D256" s="25">
        <f>IF(C256&lt;=Parametry!$C$6,L255,0)</f>
        <v/>
      </c>
      <c r="E256" s="26">
        <f>IF(OR(D256&lt;=0,C256&gt;Parametry!$C$6),0,IF(C256&lt;=Parametry!$C$9,Parametry!$C$8,Parametry!$C$10))</f>
        <v/>
      </c>
      <c r="F256" s="25">
        <f>IF(D256&lt;=0,0,D256*E256/12)</f>
        <v/>
      </c>
      <c r="G256" s="25">
        <f>IF(OR(D256&lt;=0,C256&gt;Parametry!$C$6),0,ROUND(-PMT(E256/12,MAX(1,Parametry!$C$6-C256+1),D256),2))</f>
        <v/>
      </c>
      <c r="H256" s="18" t="n"/>
      <c r="I256" s="19">
        <f>IF(OR(L256&lt;=0,C256&gt;=Parametry!$C$6),0,ROUND(-PMT(IF(C256+1&lt;=Parametry!$C$9,Parametry!$C$8,Parametry!$C$10)/12,MAX(1,Parametry!$C$6-C256),L256),2))</f>
        <v/>
      </c>
      <c r="J256" s="27">
        <f>IF(D256&lt;=0,0,MIN(G256+N(H256),D256+F256))</f>
        <v/>
      </c>
      <c r="K256" s="25">
        <f>IF(J256&lt;=0,0,MAX(0,J256-F256))</f>
        <v/>
      </c>
      <c r="L256" s="27">
        <f>IF(D256&lt;=0,0,MAX(0,D256-K256))</f>
        <v/>
      </c>
      <c r="M256" s="28">
        <f>IF(OR(L256&lt;=0,G256&lt;=L256*E256/12),0,MAX(0,ROUNDUP(-LN(1-L256*(E256/12)/G256)/LN(1+E256/12),0)))</f>
        <v/>
      </c>
    </row>
    <row r="257" ht="18" customHeight="1">
      <c r="A257" s="13" t="n">
        <v>255</v>
      </c>
      <c r="B257" s="14">
        <f>IF(C257&lt;=Parametry!$C$6,DATE(Parametry!$C$12+INT((Parametry!$C$13+255-2)/12),MOD(Parametry!$C$13+255-2,12)+1,Parametry!$C$11),"")</f>
        <v/>
      </c>
      <c r="C257" s="15" t="n">
        <v>255</v>
      </c>
      <c r="D257" s="16">
        <f>IF(C257&lt;=Parametry!$C$6,L256,0)</f>
        <v/>
      </c>
      <c r="E257" s="17">
        <f>IF(OR(D257&lt;=0,C257&gt;Parametry!$C$6),0,IF(C257&lt;=Parametry!$C$9,Parametry!$C$8,Parametry!$C$10))</f>
        <v/>
      </c>
      <c r="F257" s="16">
        <f>IF(D257&lt;=0,0,D257*E257/12)</f>
        <v/>
      </c>
      <c r="G257" s="16">
        <f>IF(OR(D257&lt;=0,C257&gt;Parametry!$C$6),0,ROUND(-PMT(E257/12,MAX(1,Parametry!$C$6-C257+1),D257),2))</f>
        <v/>
      </c>
      <c r="H257" s="18" t="n"/>
      <c r="I257" s="19">
        <f>IF(OR(L257&lt;=0,C257&gt;=Parametry!$C$6),0,ROUND(-PMT(IF(C257+1&lt;=Parametry!$C$9,Parametry!$C$8,Parametry!$C$10)/12,MAX(1,Parametry!$C$6-C257),L257),2))</f>
        <v/>
      </c>
      <c r="J257" s="20">
        <f>IF(D257&lt;=0,0,MIN(G257+N(H257),D257+F257))</f>
        <v/>
      </c>
      <c r="K257" s="16">
        <f>IF(J257&lt;=0,0,MAX(0,J257-F257))</f>
        <v/>
      </c>
      <c r="L257" s="20">
        <f>IF(D257&lt;=0,0,MAX(0,D257-K257))</f>
        <v/>
      </c>
      <c r="M257" s="21">
        <f>IF(OR(L257&lt;=0,G257&lt;=L257*E257/12),0,MAX(0,ROUNDUP(-LN(1-L257*(E257/12)/G257)/LN(1+E257/12),0)))</f>
        <v/>
      </c>
    </row>
    <row r="258" ht="18" customHeight="1">
      <c r="A258" s="22" t="n">
        <v>256</v>
      </c>
      <c r="B258" s="23">
        <f>IF(C258&lt;=Parametry!$C$6,DATE(Parametry!$C$12+INT((Parametry!$C$13+256-2)/12),MOD(Parametry!$C$13+256-2,12)+1,Parametry!$C$11),"")</f>
        <v/>
      </c>
      <c r="C258" s="24" t="n">
        <v>256</v>
      </c>
      <c r="D258" s="25">
        <f>IF(C258&lt;=Parametry!$C$6,L257,0)</f>
        <v/>
      </c>
      <c r="E258" s="26">
        <f>IF(OR(D258&lt;=0,C258&gt;Parametry!$C$6),0,IF(C258&lt;=Parametry!$C$9,Parametry!$C$8,Parametry!$C$10))</f>
        <v/>
      </c>
      <c r="F258" s="25">
        <f>IF(D258&lt;=0,0,D258*E258/12)</f>
        <v/>
      </c>
      <c r="G258" s="25">
        <f>IF(OR(D258&lt;=0,C258&gt;Parametry!$C$6),0,ROUND(-PMT(E258/12,MAX(1,Parametry!$C$6-C258+1),D258),2))</f>
        <v/>
      </c>
      <c r="H258" s="18" t="n"/>
      <c r="I258" s="19">
        <f>IF(OR(L258&lt;=0,C258&gt;=Parametry!$C$6),0,ROUND(-PMT(IF(C258+1&lt;=Parametry!$C$9,Parametry!$C$8,Parametry!$C$10)/12,MAX(1,Parametry!$C$6-C258),L258),2))</f>
        <v/>
      </c>
      <c r="J258" s="27">
        <f>IF(D258&lt;=0,0,MIN(G258+N(H258),D258+F258))</f>
        <v/>
      </c>
      <c r="K258" s="25">
        <f>IF(J258&lt;=0,0,MAX(0,J258-F258))</f>
        <v/>
      </c>
      <c r="L258" s="27">
        <f>IF(D258&lt;=0,0,MAX(0,D258-K258))</f>
        <v/>
      </c>
      <c r="M258" s="28">
        <f>IF(OR(L258&lt;=0,G258&lt;=L258*E258/12),0,MAX(0,ROUNDUP(-LN(1-L258*(E258/12)/G258)/LN(1+E258/12),0)))</f>
        <v/>
      </c>
    </row>
    <row r="259" ht="18" customHeight="1">
      <c r="A259" s="13" t="n">
        <v>257</v>
      </c>
      <c r="B259" s="14">
        <f>IF(C259&lt;=Parametry!$C$6,DATE(Parametry!$C$12+INT((Parametry!$C$13+257-2)/12),MOD(Parametry!$C$13+257-2,12)+1,Parametry!$C$11),"")</f>
        <v/>
      </c>
      <c r="C259" s="15" t="n">
        <v>257</v>
      </c>
      <c r="D259" s="16">
        <f>IF(C259&lt;=Parametry!$C$6,L258,0)</f>
        <v/>
      </c>
      <c r="E259" s="17">
        <f>IF(OR(D259&lt;=0,C259&gt;Parametry!$C$6),0,IF(C259&lt;=Parametry!$C$9,Parametry!$C$8,Parametry!$C$10))</f>
        <v/>
      </c>
      <c r="F259" s="16">
        <f>IF(D259&lt;=0,0,D259*E259/12)</f>
        <v/>
      </c>
      <c r="G259" s="16">
        <f>IF(OR(D259&lt;=0,C259&gt;Parametry!$C$6),0,ROUND(-PMT(E259/12,MAX(1,Parametry!$C$6-C259+1),D259),2))</f>
        <v/>
      </c>
      <c r="H259" s="18" t="n"/>
      <c r="I259" s="19">
        <f>IF(OR(L259&lt;=0,C259&gt;=Parametry!$C$6),0,ROUND(-PMT(IF(C259+1&lt;=Parametry!$C$9,Parametry!$C$8,Parametry!$C$10)/12,MAX(1,Parametry!$C$6-C259),L259),2))</f>
        <v/>
      </c>
      <c r="J259" s="20">
        <f>IF(D259&lt;=0,0,MIN(G259+N(H259),D259+F259))</f>
        <v/>
      </c>
      <c r="K259" s="16">
        <f>IF(J259&lt;=0,0,MAX(0,J259-F259))</f>
        <v/>
      </c>
      <c r="L259" s="20">
        <f>IF(D259&lt;=0,0,MAX(0,D259-K259))</f>
        <v/>
      </c>
      <c r="M259" s="21">
        <f>IF(OR(L259&lt;=0,G259&lt;=L259*E259/12),0,MAX(0,ROUNDUP(-LN(1-L259*(E259/12)/G259)/LN(1+E259/12),0)))</f>
        <v/>
      </c>
    </row>
    <row r="260" ht="18" customHeight="1">
      <c r="A260" s="22" t="n">
        <v>258</v>
      </c>
      <c r="B260" s="23">
        <f>IF(C260&lt;=Parametry!$C$6,DATE(Parametry!$C$12+INT((Parametry!$C$13+258-2)/12),MOD(Parametry!$C$13+258-2,12)+1,Parametry!$C$11),"")</f>
        <v/>
      </c>
      <c r="C260" s="24" t="n">
        <v>258</v>
      </c>
      <c r="D260" s="25">
        <f>IF(C260&lt;=Parametry!$C$6,L259,0)</f>
        <v/>
      </c>
      <c r="E260" s="26">
        <f>IF(OR(D260&lt;=0,C260&gt;Parametry!$C$6),0,IF(C260&lt;=Parametry!$C$9,Parametry!$C$8,Parametry!$C$10))</f>
        <v/>
      </c>
      <c r="F260" s="25">
        <f>IF(D260&lt;=0,0,D260*E260/12)</f>
        <v/>
      </c>
      <c r="G260" s="25">
        <f>IF(OR(D260&lt;=0,C260&gt;Parametry!$C$6),0,ROUND(-PMT(E260/12,MAX(1,Parametry!$C$6-C260+1),D260),2))</f>
        <v/>
      </c>
      <c r="H260" s="18" t="n"/>
      <c r="I260" s="19">
        <f>IF(OR(L260&lt;=0,C260&gt;=Parametry!$C$6),0,ROUND(-PMT(IF(C260+1&lt;=Parametry!$C$9,Parametry!$C$8,Parametry!$C$10)/12,MAX(1,Parametry!$C$6-C260),L260),2))</f>
        <v/>
      </c>
      <c r="J260" s="27">
        <f>IF(D260&lt;=0,0,MIN(G260+N(H260),D260+F260))</f>
        <v/>
      </c>
      <c r="K260" s="25">
        <f>IF(J260&lt;=0,0,MAX(0,J260-F260))</f>
        <v/>
      </c>
      <c r="L260" s="27">
        <f>IF(D260&lt;=0,0,MAX(0,D260-K260))</f>
        <v/>
      </c>
      <c r="M260" s="28">
        <f>IF(OR(L260&lt;=0,G260&lt;=L260*E260/12),0,MAX(0,ROUNDUP(-LN(1-L260*(E260/12)/G260)/LN(1+E260/12),0)))</f>
        <v/>
      </c>
    </row>
    <row r="261" ht="18" customHeight="1">
      <c r="A261" s="13" t="n">
        <v>259</v>
      </c>
      <c r="B261" s="14">
        <f>IF(C261&lt;=Parametry!$C$6,DATE(Parametry!$C$12+INT((Parametry!$C$13+259-2)/12),MOD(Parametry!$C$13+259-2,12)+1,Parametry!$C$11),"")</f>
        <v/>
      </c>
      <c r="C261" s="15" t="n">
        <v>259</v>
      </c>
      <c r="D261" s="16">
        <f>IF(C261&lt;=Parametry!$C$6,L260,0)</f>
        <v/>
      </c>
      <c r="E261" s="17">
        <f>IF(OR(D261&lt;=0,C261&gt;Parametry!$C$6),0,IF(C261&lt;=Parametry!$C$9,Parametry!$C$8,Parametry!$C$10))</f>
        <v/>
      </c>
      <c r="F261" s="16">
        <f>IF(D261&lt;=0,0,D261*E261/12)</f>
        <v/>
      </c>
      <c r="G261" s="16">
        <f>IF(OR(D261&lt;=0,C261&gt;Parametry!$C$6),0,ROUND(-PMT(E261/12,MAX(1,Parametry!$C$6-C261+1),D261),2))</f>
        <v/>
      </c>
      <c r="H261" s="18" t="n"/>
      <c r="I261" s="19">
        <f>IF(OR(L261&lt;=0,C261&gt;=Parametry!$C$6),0,ROUND(-PMT(IF(C261+1&lt;=Parametry!$C$9,Parametry!$C$8,Parametry!$C$10)/12,MAX(1,Parametry!$C$6-C261),L261),2))</f>
        <v/>
      </c>
      <c r="J261" s="20">
        <f>IF(D261&lt;=0,0,MIN(G261+N(H261),D261+F261))</f>
        <v/>
      </c>
      <c r="K261" s="16">
        <f>IF(J261&lt;=0,0,MAX(0,J261-F261))</f>
        <v/>
      </c>
      <c r="L261" s="20">
        <f>IF(D261&lt;=0,0,MAX(0,D261-K261))</f>
        <v/>
      </c>
      <c r="M261" s="21">
        <f>IF(OR(L261&lt;=0,G261&lt;=L261*E261/12),0,MAX(0,ROUNDUP(-LN(1-L261*(E261/12)/G261)/LN(1+E261/12),0)))</f>
        <v/>
      </c>
    </row>
    <row r="262" ht="18" customHeight="1">
      <c r="A262" s="22" t="n">
        <v>260</v>
      </c>
      <c r="B262" s="23">
        <f>IF(C262&lt;=Parametry!$C$6,DATE(Parametry!$C$12+INT((Parametry!$C$13+260-2)/12),MOD(Parametry!$C$13+260-2,12)+1,Parametry!$C$11),"")</f>
        <v/>
      </c>
      <c r="C262" s="24" t="n">
        <v>260</v>
      </c>
      <c r="D262" s="25">
        <f>IF(C262&lt;=Parametry!$C$6,L261,0)</f>
        <v/>
      </c>
      <c r="E262" s="26">
        <f>IF(OR(D262&lt;=0,C262&gt;Parametry!$C$6),0,IF(C262&lt;=Parametry!$C$9,Parametry!$C$8,Parametry!$C$10))</f>
        <v/>
      </c>
      <c r="F262" s="25">
        <f>IF(D262&lt;=0,0,D262*E262/12)</f>
        <v/>
      </c>
      <c r="G262" s="25">
        <f>IF(OR(D262&lt;=0,C262&gt;Parametry!$C$6),0,ROUND(-PMT(E262/12,MAX(1,Parametry!$C$6-C262+1),D262),2))</f>
        <v/>
      </c>
      <c r="H262" s="18" t="n"/>
      <c r="I262" s="19">
        <f>IF(OR(L262&lt;=0,C262&gt;=Parametry!$C$6),0,ROUND(-PMT(IF(C262+1&lt;=Parametry!$C$9,Parametry!$C$8,Parametry!$C$10)/12,MAX(1,Parametry!$C$6-C262),L262),2))</f>
        <v/>
      </c>
      <c r="J262" s="27">
        <f>IF(D262&lt;=0,0,MIN(G262+N(H262),D262+F262))</f>
        <v/>
      </c>
      <c r="K262" s="25">
        <f>IF(J262&lt;=0,0,MAX(0,J262-F262))</f>
        <v/>
      </c>
      <c r="L262" s="27">
        <f>IF(D262&lt;=0,0,MAX(0,D262-K262))</f>
        <v/>
      </c>
      <c r="M262" s="28">
        <f>IF(OR(L262&lt;=0,G262&lt;=L262*E262/12),0,MAX(0,ROUNDUP(-LN(1-L262*(E262/12)/G262)/LN(1+E262/12),0)))</f>
        <v/>
      </c>
    </row>
    <row r="263" ht="18" customHeight="1">
      <c r="A263" s="13" t="n">
        <v>261</v>
      </c>
      <c r="B263" s="14">
        <f>IF(C263&lt;=Parametry!$C$6,DATE(Parametry!$C$12+INT((Parametry!$C$13+261-2)/12),MOD(Parametry!$C$13+261-2,12)+1,Parametry!$C$11),"")</f>
        <v/>
      </c>
      <c r="C263" s="15" t="n">
        <v>261</v>
      </c>
      <c r="D263" s="16">
        <f>IF(C263&lt;=Parametry!$C$6,L262,0)</f>
        <v/>
      </c>
      <c r="E263" s="17">
        <f>IF(OR(D263&lt;=0,C263&gt;Parametry!$C$6),0,IF(C263&lt;=Parametry!$C$9,Parametry!$C$8,Parametry!$C$10))</f>
        <v/>
      </c>
      <c r="F263" s="16">
        <f>IF(D263&lt;=0,0,D263*E263/12)</f>
        <v/>
      </c>
      <c r="G263" s="16">
        <f>IF(OR(D263&lt;=0,C263&gt;Parametry!$C$6),0,ROUND(-PMT(E263/12,MAX(1,Parametry!$C$6-C263+1),D263),2))</f>
        <v/>
      </c>
      <c r="H263" s="18" t="n"/>
      <c r="I263" s="19">
        <f>IF(OR(L263&lt;=0,C263&gt;=Parametry!$C$6),0,ROUND(-PMT(IF(C263+1&lt;=Parametry!$C$9,Parametry!$C$8,Parametry!$C$10)/12,MAX(1,Parametry!$C$6-C263),L263),2))</f>
        <v/>
      </c>
      <c r="J263" s="20">
        <f>IF(D263&lt;=0,0,MIN(G263+N(H263),D263+F263))</f>
        <v/>
      </c>
      <c r="K263" s="16">
        <f>IF(J263&lt;=0,0,MAX(0,J263-F263))</f>
        <v/>
      </c>
      <c r="L263" s="20">
        <f>IF(D263&lt;=0,0,MAX(0,D263-K263))</f>
        <v/>
      </c>
      <c r="M263" s="21">
        <f>IF(OR(L263&lt;=0,G263&lt;=L263*E263/12),0,MAX(0,ROUNDUP(-LN(1-L263*(E263/12)/G263)/LN(1+E263/12),0)))</f>
        <v/>
      </c>
    </row>
    <row r="264" ht="18" customHeight="1">
      <c r="A264" s="22" t="n">
        <v>262</v>
      </c>
      <c r="B264" s="23">
        <f>IF(C264&lt;=Parametry!$C$6,DATE(Parametry!$C$12+INT((Parametry!$C$13+262-2)/12),MOD(Parametry!$C$13+262-2,12)+1,Parametry!$C$11),"")</f>
        <v/>
      </c>
      <c r="C264" s="24" t="n">
        <v>262</v>
      </c>
      <c r="D264" s="25">
        <f>IF(C264&lt;=Parametry!$C$6,L263,0)</f>
        <v/>
      </c>
      <c r="E264" s="26">
        <f>IF(OR(D264&lt;=0,C264&gt;Parametry!$C$6),0,IF(C264&lt;=Parametry!$C$9,Parametry!$C$8,Parametry!$C$10))</f>
        <v/>
      </c>
      <c r="F264" s="25">
        <f>IF(D264&lt;=0,0,D264*E264/12)</f>
        <v/>
      </c>
      <c r="G264" s="25">
        <f>IF(OR(D264&lt;=0,C264&gt;Parametry!$C$6),0,ROUND(-PMT(E264/12,MAX(1,Parametry!$C$6-C264+1),D264),2))</f>
        <v/>
      </c>
      <c r="H264" s="18" t="n"/>
      <c r="I264" s="19">
        <f>IF(OR(L264&lt;=0,C264&gt;=Parametry!$C$6),0,ROUND(-PMT(IF(C264+1&lt;=Parametry!$C$9,Parametry!$C$8,Parametry!$C$10)/12,MAX(1,Parametry!$C$6-C264),L264),2))</f>
        <v/>
      </c>
      <c r="J264" s="27">
        <f>IF(D264&lt;=0,0,MIN(G264+N(H264),D264+F264))</f>
        <v/>
      </c>
      <c r="K264" s="25">
        <f>IF(J264&lt;=0,0,MAX(0,J264-F264))</f>
        <v/>
      </c>
      <c r="L264" s="27">
        <f>IF(D264&lt;=0,0,MAX(0,D264-K264))</f>
        <v/>
      </c>
      <c r="M264" s="28">
        <f>IF(OR(L264&lt;=0,G264&lt;=L264*E264/12),0,MAX(0,ROUNDUP(-LN(1-L264*(E264/12)/G264)/LN(1+E264/12),0)))</f>
        <v/>
      </c>
    </row>
    <row r="265" ht="18" customHeight="1">
      <c r="A265" s="13" t="n">
        <v>263</v>
      </c>
      <c r="B265" s="14">
        <f>IF(C265&lt;=Parametry!$C$6,DATE(Parametry!$C$12+INT((Parametry!$C$13+263-2)/12),MOD(Parametry!$C$13+263-2,12)+1,Parametry!$C$11),"")</f>
        <v/>
      </c>
      <c r="C265" s="15" t="n">
        <v>263</v>
      </c>
      <c r="D265" s="16">
        <f>IF(C265&lt;=Parametry!$C$6,L264,0)</f>
        <v/>
      </c>
      <c r="E265" s="17">
        <f>IF(OR(D265&lt;=0,C265&gt;Parametry!$C$6),0,IF(C265&lt;=Parametry!$C$9,Parametry!$C$8,Parametry!$C$10))</f>
        <v/>
      </c>
      <c r="F265" s="16">
        <f>IF(D265&lt;=0,0,D265*E265/12)</f>
        <v/>
      </c>
      <c r="G265" s="16">
        <f>IF(OR(D265&lt;=0,C265&gt;Parametry!$C$6),0,ROUND(-PMT(E265/12,MAX(1,Parametry!$C$6-C265+1),D265),2))</f>
        <v/>
      </c>
      <c r="H265" s="18" t="n"/>
      <c r="I265" s="19">
        <f>IF(OR(L265&lt;=0,C265&gt;=Parametry!$C$6),0,ROUND(-PMT(IF(C265+1&lt;=Parametry!$C$9,Parametry!$C$8,Parametry!$C$10)/12,MAX(1,Parametry!$C$6-C265),L265),2))</f>
        <v/>
      </c>
      <c r="J265" s="20">
        <f>IF(D265&lt;=0,0,MIN(G265+N(H265),D265+F265))</f>
        <v/>
      </c>
      <c r="K265" s="16">
        <f>IF(J265&lt;=0,0,MAX(0,J265-F265))</f>
        <v/>
      </c>
      <c r="L265" s="20">
        <f>IF(D265&lt;=0,0,MAX(0,D265-K265))</f>
        <v/>
      </c>
      <c r="M265" s="21">
        <f>IF(OR(L265&lt;=0,G265&lt;=L265*E265/12),0,MAX(0,ROUNDUP(-LN(1-L265*(E265/12)/G265)/LN(1+E265/12),0)))</f>
        <v/>
      </c>
    </row>
    <row r="266" ht="18" customHeight="1">
      <c r="A266" s="22" t="n">
        <v>264</v>
      </c>
      <c r="B266" s="23">
        <f>IF(C266&lt;=Parametry!$C$6,DATE(Parametry!$C$12+INT((Parametry!$C$13+264-2)/12),MOD(Parametry!$C$13+264-2,12)+1,Parametry!$C$11),"")</f>
        <v/>
      </c>
      <c r="C266" s="24" t="n">
        <v>264</v>
      </c>
      <c r="D266" s="25">
        <f>IF(C266&lt;=Parametry!$C$6,L265,0)</f>
        <v/>
      </c>
      <c r="E266" s="26">
        <f>IF(OR(D266&lt;=0,C266&gt;Parametry!$C$6),0,IF(C266&lt;=Parametry!$C$9,Parametry!$C$8,Parametry!$C$10))</f>
        <v/>
      </c>
      <c r="F266" s="25">
        <f>IF(D266&lt;=0,0,D266*E266/12)</f>
        <v/>
      </c>
      <c r="G266" s="25">
        <f>IF(OR(D266&lt;=0,C266&gt;Parametry!$C$6),0,ROUND(-PMT(E266/12,MAX(1,Parametry!$C$6-C266+1),D266),2))</f>
        <v/>
      </c>
      <c r="H266" s="18" t="n"/>
      <c r="I266" s="19">
        <f>IF(OR(L266&lt;=0,C266&gt;=Parametry!$C$6),0,ROUND(-PMT(IF(C266+1&lt;=Parametry!$C$9,Parametry!$C$8,Parametry!$C$10)/12,MAX(1,Parametry!$C$6-C266),L266),2))</f>
        <v/>
      </c>
      <c r="J266" s="27">
        <f>IF(D266&lt;=0,0,MIN(G266+N(H266),D266+F266))</f>
        <v/>
      </c>
      <c r="K266" s="25">
        <f>IF(J266&lt;=0,0,MAX(0,J266-F266))</f>
        <v/>
      </c>
      <c r="L266" s="27">
        <f>IF(D266&lt;=0,0,MAX(0,D266-K266))</f>
        <v/>
      </c>
      <c r="M266" s="28">
        <f>IF(OR(L266&lt;=0,G266&lt;=L266*E266/12),0,MAX(0,ROUNDUP(-LN(1-L266*(E266/12)/G266)/LN(1+E266/12),0)))</f>
        <v/>
      </c>
    </row>
    <row r="267" ht="18" customHeight="1">
      <c r="A267" s="13" t="n">
        <v>265</v>
      </c>
      <c r="B267" s="14">
        <f>IF(C267&lt;=Parametry!$C$6,DATE(Parametry!$C$12+INT((Parametry!$C$13+265-2)/12),MOD(Parametry!$C$13+265-2,12)+1,Parametry!$C$11),"")</f>
        <v/>
      </c>
      <c r="C267" s="15" t="n">
        <v>265</v>
      </c>
      <c r="D267" s="16">
        <f>IF(C267&lt;=Parametry!$C$6,L266,0)</f>
        <v/>
      </c>
      <c r="E267" s="17">
        <f>IF(OR(D267&lt;=0,C267&gt;Parametry!$C$6),0,IF(C267&lt;=Parametry!$C$9,Parametry!$C$8,Parametry!$C$10))</f>
        <v/>
      </c>
      <c r="F267" s="16">
        <f>IF(D267&lt;=0,0,D267*E267/12)</f>
        <v/>
      </c>
      <c r="G267" s="16">
        <f>IF(OR(D267&lt;=0,C267&gt;Parametry!$C$6),0,ROUND(-PMT(E267/12,MAX(1,Parametry!$C$6-C267+1),D267),2))</f>
        <v/>
      </c>
      <c r="H267" s="18" t="n"/>
      <c r="I267" s="19">
        <f>IF(OR(L267&lt;=0,C267&gt;=Parametry!$C$6),0,ROUND(-PMT(IF(C267+1&lt;=Parametry!$C$9,Parametry!$C$8,Parametry!$C$10)/12,MAX(1,Parametry!$C$6-C267),L267),2))</f>
        <v/>
      </c>
      <c r="J267" s="20">
        <f>IF(D267&lt;=0,0,MIN(G267+N(H267),D267+F267))</f>
        <v/>
      </c>
      <c r="K267" s="16">
        <f>IF(J267&lt;=0,0,MAX(0,J267-F267))</f>
        <v/>
      </c>
      <c r="L267" s="20">
        <f>IF(D267&lt;=0,0,MAX(0,D267-K267))</f>
        <v/>
      </c>
      <c r="M267" s="21">
        <f>IF(OR(L267&lt;=0,G267&lt;=L267*E267/12),0,MAX(0,ROUNDUP(-LN(1-L267*(E267/12)/G267)/LN(1+E267/12),0)))</f>
        <v/>
      </c>
    </row>
    <row r="268" ht="18" customHeight="1">
      <c r="A268" s="22" t="n">
        <v>266</v>
      </c>
      <c r="B268" s="23">
        <f>IF(C268&lt;=Parametry!$C$6,DATE(Parametry!$C$12+INT((Parametry!$C$13+266-2)/12),MOD(Parametry!$C$13+266-2,12)+1,Parametry!$C$11),"")</f>
        <v/>
      </c>
      <c r="C268" s="24" t="n">
        <v>266</v>
      </c>
      <c r="D268" s="25">
        <f>IF(C268&lt;=Parametry!$C$6,L267,0)</f>
        <v/>
      </c>
      <c r="E268" s="26">
        <f>IF(OR(D268&lt;=0,C268&gt;Parametry!$C$6),0,IF(C268&lt;=Parametry!$C$9,Parametry!$C$8,Parametry!$C$10))</f>
        <v/>
      </c>
      <c r="F268" s="25">
        <f>IF(D268&lt;=0,0,D268*E268/12)</f>
        <v/>
      </c>
      <c r="G268" s="25">
        <f>IF(OR(D268&lt;=0,C268&gt;Parametry!$C$6),0,ROUND(-PMT(E268/12,MAX(1,Parametry!$C$6-C268+1),D268),2))</f>
        <v/>
      </c>
      <c r="H268" s="18" t="n"/>
      <c r="I268" s="19">
        <f>IF(OR(L268&lt;=0,C268&gt;=Parametry!$C$6),0,ROUND(-PMT(IF(C268+1&lt;=Parametry!$C$9,Parametry!$C$8,Parametry!$C$10)/12,MAX(1,Parametry!$C$6-C268),L268),2))</f>
        <v/>
      </c>
      <c r="J268" s="27">
        <f>IF(D268&lt;=0,0,MIN(G268+N(H268),D268+F268))</f>
        <v/>
      </c>
      <c r="K268" s="25">
        <f>IF(J268&lt;=0,0,MAX(0,J268-F268))</f>
        <v/>
      </c>
      <c r="L268" s="27">
        <f>IF(D268&lt;=0,0,MAX(0,D268-K268))</f>
        <v/>
      </c>
      <c r="M268" s="28">
        <f>IF(OR(L268&lt;=0,G268&lt;=L268*E268/12),0,MAX(0,ROUNDUP(-LN(1-L268*(E268/12)/G268)/LN(1+E268/12),0)))</f>
        <v/>
      </c>
    </row>
    <row r="269" ht="18" customHeight="1">
      <c r="A269" s="13" t="n">
        <v>267</v>
      </c>
      <c r="B269" s="14">
        <f>IF(C269&lt;=Parametry!$C$6,DATE(Parametry!$C$12+INT((Parametry!$C$13+267-2)/12),MOD(Parametry!$C$13+267-2,12)+1,Parametry!$C$11),"")</f>
        <v/>
      </c>
      <c r="C269" s="15" t="n">
        <v>267</v>
      </c>
      <c r="D269" s="16">
        <f>IF(C269&lt;=Parametry!$C$6,L268,0)</f>
        <v/>
      </c>
      <c r="E269" s="17">
        <f>IF(OR(D269&lt;=0,C269&gt;Parametry!$C$6),0,IF(C269&lt;=Parametry!$C$9,Parametry!$C$8,Parametry!$C$10))</f>
        <v/>
      </c>
      <c r="F269" s="16">
        <f>IF(D269&lt;=0,0,D269*E269/12)</f>
        <v/>
      </c>
      <c r="G269" s="16">
        <f>IF(OR(D269&lt;=0,C269&gt;Parametry!$C$6),0,ROUND(-PMT(E269/12,MAX(1,Parametry!$C$6-C269+1),D269),2))</f>
        <v/>
      </c>
      <c r="H269" s="18" t="n"/>
      <c r="I269" s="19">
        <f>IF(OR(L269&lt;=0,C269&gt;=Parametry!$C$6),0,ROUND(-PMT(IF(C269+1&lt;=Parametry!$C$9,Parametry!$C$8,Parametry!$C$10)/12,MAX(1,Parametry!$C$6-C269),L269),2))</f>
        <v/>
      </c>
      <c r="J269" s="20">
        <f>IF(D269&lt;=0,0,MIN(G269+N(H269),D269+F269))</f>
        <v/>
      </c>
      <c r="K269" s="16">
        <f>IF(J269&lt;=0,0,MAX(0,J269-F269))</f>
        <v/>
      </c>
      <c r="L269" s="20">
        <f>IF(D269&lt;=0,0,MAX(0,D269-K269))</f>
        <v/>
      </c>
      <c r="M269" s="21">
        <f>IF(OR(L269&lt;=0,G269&lt;=L269*E269/12),0,MAX(0,ROUNDUP(-LN(1-L269*(E269/12)/G269)/LN(1+E269/12),0)))</f>
        <v/>
      </c>
    </row>
    <row r="270" ht="18" customHeight="1">
      <c r="A270" s="22" t="n">
        <v>268</v>
      </c>
      <c r="B270" s="23">
        <f>IF(C270&lt;=Parametry!$C$6,DATE(Parametry!$C$12+INT((Parametry!$C$13+268-2)/12),MOD(Parametry!$C$13+268-2,12)+1,Parametry!$C$11),"")</f>
        <v/>
      </c>
      <c r="C270" s="24" t="n">
        <v>268</v>
      </c>
      <c r="D270" s="25">
        <f>IF(C270&lt;=Parametry!$C$6,L269,0)</f>
        <v/>
      </c>
      <c r="E270" s="26">
        <f>IF(OR(D270&lt;=0,C270&gt;Parametry!$C$6),0,IF(C270&lt;=Parametry!$C$9,Parametry!$C$8,Parametry!$C$10))</f>
        <v/>
      </c>
      <c r="F270" s="25">
        <f>IF(D270&lt;=0,0,D270*E270/12)</f>
        <v/>
      </c>
      <c r="G270" s="25">
        <f>IF(OR(D270&lt;=0,C270&gt;Parametry!$C$6),0,ROUND(-PMT(E270/12,MAX(1,Parametry!$C$6-C270+1),D270),2))</f>
        <v/>
      </c>
      <c r="H270" s="18" t="n"/>
      <c r="I270" s="19">
        <f>IF(OR(L270&lt;=0,C270&gt;=Parametry!$C$6),0,ROUND(-PMT(IF(C270+1&lt;=Parametry!$C$9,Parametry!$C$8,Parametry!$C$10)/12,MAX(1,Parametry!$C$6-C270),L270),2))</f>
        <v/>
      </c>
      <c r="J270" s="27">
        <f>IF(D270&lt;=0,0,MIN(G270+N(H270),D270+F270))</f>
        <v/>
      </c>
      <c r="K270" s="25">
        <f>IF(J270&lt;=0,0,MAX(0,J270-F270))</f>
        <v/>
      </c>
      <c r="L270" s="27">
        <f>IF(D270&lt;=0,0,MAX(0,D270-K270))</f>
        <v/>
      </c>
      <c r="M270" s="28">
        <f>IF(OR(L270&lt;=0,G270&lt;=L270*E270/12),0,MAX(0,ROUNDUP(-LN(1-L270*(E270/12)/G270)/LN(1+E270/12),0)))</f>
        <v/>
      </c>
    </row>
    <row r="271" ht="18" customHeight="1">
      <c r="A271" s="13" t="n">
        <v>269</v>
      </c>
      <c r="B271" s="14">
        <f>IF(C271&lt;=Parametry!$C$6,DATE(Parametry!$C$12+INT((Parametry!$C$13+269-2)/12),MOD(Parametry!$C$13+269-2,12)+1,Parametry!$C$11),"")</f>
        <v/>
      </c>
      <c r="C271" s="15" t="n">
        <v>269</v>
      </c>
      <c r="D271" s="16">
        <f>IF(C271&lt;=Parametry!$C$6,L270,0)</f>
        <v/>
      </c>
      <c r="E271" s="17">
        <f>IF(OR(D271&lt;=0,C271&gt;Parametry!$C$6),0,IF(C271&lt;=Parametry!$C$9,Parametry!$C$8,Parametry!$C$10))</f>
        <v/>
      </c>
      <c r="F271" s="16">
        <f>IF(D271&lt;=0,0,D271*E271/12)</f>
        <v/>
      </c>
      <c r="G271" s="16">
        <f>IF(OR(D271&lt;=0,C271&gt;Parametry!$C$6),0,ROUND(-PMT(E271/12,MAX(1,Parametry!$C$6-C271+1),D271),2))</f>
        <v/>
      </c>
      <c r="H271" s="18" t="n"/>
      <c r="I271" s="19">
        <f>IF(OR(L271&lt;=0,C271&gt;=Parametry!$C$6),0,ROUND(-PMT(IF(C271+1&lt;=Parametry!$C$9,Parametry!$C$8,Parametry!$C$10)/12,MAX(1,Parametry!$C$6-C271),L271),2))</f>
        <v/>
      </c>
      <c r="J271" s="20">
        <f>IF(D271&lt;=0,0,MIN(G271+N(H271),D271+F271))</f>
        <v/>
      </c>
      <c r="K271" s="16">
        <f>IF(J271&lt;=0,0,MAX(0,J271-F271))</f>
        <v/>
      </c>
      <c r="L271" s="20">
        <f>IF(D271&lt;=0,0,MAX(0,D271-K271))</f>
        <v/>
      </c>
      <c r="M271" s="21">
        <f>IF(OR(L271&lt;=0,G271&lt;=L271*E271/12),0,MAX(0,ROUNDUP(-LN(1-L271*(E271/12)/G271)/LN(1+E271/12),0)))</f>
        <v/>
      </c>
    </row>
    <row r="272" ht="18" customHeight="1">
      <c r="A272" s="22" t="n">
        <v>270</v>
      </c>
      <c r="B272" s="23">
        <f>IF(C272&lt;=Parametry!$C$6,DATE(Parametry!$C$12+INT((Parametry!$C$13+270-2)/12),MOD(Parametry!$C$13+270-2,12)+1,Parametry!$C$11),"")</f>
        <v/>
      </c>
      <c r="C272" s="24" t="n">
        <v>270</v>
      </c>
      <c r="D272" s="25">
        <f>IF(C272&lt;=Parametry!$C$6,L271,0)</f>
        <v/>
      </c>
      <c r="E272" s="26">
        <f>IF(OR(D272&lt;=0,C272&gt;Parametry!$C$6),0,IF(C272&lt;=Parametry!$C$9,Parametry!$C$8,Parametry!$C$10))</f>
        <v/>
      </c>
      <c r="F272" s="25">
        <f>IF(D272&lt;=0,0,D272*E272/12)</f>
        <v/>
      </c>
      <c r="G272" s="25">
        <f>IF(OR(D272&lt;=0,C272&gt;Parametry!$C$6),0,ROUND(-PMT(E272/12,MAX(1,Parametry!$C$6-C272+1),D272),2))</f>
        <v/>
      </c>
      <c r="H272" s="18" t="n"/>
      <c r="I272" s="19">
        <f>IF(OR(L272&lt;=0,C272&gt;=Parametry!$C$6),0,ROUND(-PMT(IF(C272+1&lt;=Parametry!$C$9,Parametry!$C$8,Parametry!$C$10)/12,MAX(1,Parametry!$C$6-C272),L272),2))</f>
        <v/>
      </c>
      <c r="J272" s="27">
        <f>IF(D272&lt;=0,0,MIN(G272+N(H272),D272+F272))</f>
        <v/>
      </c>
      <c r="K272" s="25">
        <f>IF(J272&lt;=0,0,MAX(0,J272-F272))</f>
        <v/>
      </c>
      <c r="L272" s="27">
        <f>IF(D272&lt;=0,0,MAX(0,D272-K272))</f>
        <v/>
      </c>
      <c r="M272" s="28">
        <f>IF(OR(L272&lt;=0,G272&lt;=L272*E272/12),0,MAX(0,ROUNDUP(-LN(1-L272*(E272/12)/G272)/LN(1+E272/12),0)))</f>
        <v/>
      </c>
    </row>
    <row r="273" ht="18" customHeight="1">
      <c r="A273" s="13" t="n">
        <v>271</v>
      </c>
      <c r="B273" s="14">
        <f>IF(C273&lt;=Parametry!$C$6,DATE(Parametry!$C$12+INT((Parametry!$C$13+271-2)/12),MOD(Parametry!$C$13+271-2,12)+1,Parametry!$C$11),"")</f>
        <v/>
      </c>
      <c r="C273" s="15" t="n">
        <v>271</v>
      </c>
      <c r="D273" s="16">
        <f>IF(C273&lt;=Parametry!$C$6,L272,0)</f>
        <v/>
      </c>
      <c r="E273" s="17">
        <f>IF(OR(D273&lt;=0,C273&gt;Parametry!$C$6),0,IF(C273&lt;=Parametry!$C$9,Parametry!$C$8,Parametry!$C$10))</f>
        <v/>
      </c>
      <c r="F273" s="16">
        <f>IF(D273&lt;=0,0,D273*E273/12)</f>
        <v/>
      </c>
      <c r="G273" s="16">
        <f>IF(OR(D273&lt;=0,C273&gt;Parametry!$C$6),0,ROUND(-PMT(E273/12,MAX(1,Parametry!$C$6-C273+1),D273),2))</f>
        <v/>
      </c>
      <c r="H273" s="18" t="n"/>
      <c r="I273" s="19">
        <f>IF(OR(L273&lt;=0,C273&gt;=Parametry!$C$6),0,ROUND(-PMT(IF(C273+1&lt;=Parametry!$C$9,Parametry!$C$8,Parametry!$C$10)/12,MAX(1,Parametry!$C$6-C273),L273),2))</f>
        <v/>
      </c>
      <c r="J273" s="20">
        <f>IF(D273&lt;=0,0,MIN(G273+N(H273),D273+F273))</f>
        <v/>
      </c>
      <c r="K273" s="16">
        <f>IF(J273&lt;=0,0,MAX(0,J273-F273))</f>
        <v/>
      </c>
      <c r="L273" s="20">
        <f>IF(D273&lt;=0,0,MAX(0,D273-K273))</f>
        <v/>
      </c>
      <c r="M273" s="21">
        <f>IF(OR(L273&lt;=0,G273&lt;=L273*E273/12),0,MAX(0,ROUNDUP(-LN(1-L273*(E273/12)/G273)/LN(1+E273/12),0)))</f>
        <v/>
      </c>
    </row>
    <row r="274" ht="18" customHeight="1">
      <c r="A274" s="22" t="n">
        <v>272</v>
      </c>
      <c r="B274" s="23">
        <f>IF(C274&lt;=Parametry!$C$6,DATE(Parametry!$C$12+INT((Parametry!$C$13+272-2)/12),MOD(Parametry!$C$13+272-2,12)+1,Parametry!$C$11),"")</f>
        <v/>
      </c>
      <c r="C274" s="24" t="n">
        <v>272</v>
      </c>
      <c r="D274" s="25">
        <f>IF(C274&lt;=Parametry!$C$6,L273,0)</f>
        <v/>
      </c>
      <c r="E274" s="26">
        <f>IF(OR(D274&lt;=0,C274&gt;Parametry!$C$6),0,IF(C274&lt;=Parametry!$C$9,Parametry!$C$8,Parametry!$C$10))</f>
        <v/>
      </c>
      <c r="F274" s="25">
        <f>IF(D274&lt;=0,0,D274*E274/12)</f>
        <v/>
      </c>
      <c r="G274" s="25">
        <f>IF(OR(D274&lt;=0,C274&gt;Parametry!$C$6),0,ROUND(-PMT(E274/12,MAX(1,Parametry!$C$6-C274+1),D274),2))</f>
        <v/>
      </c>
      <c r="H274" s="18" t="n"/>
      <c r="I274" s="19">
        <f>IF(OR(L274&lt;=0,C274&gt;=Parametry!$C$6),0,ROUND(-PMT(IF(C274+1&lt;=Parametry!$C$9,Parametry!$C$8,Parametry!$C$10)/12,MAX(1,Parametry!$C$6-C274),L274),2))</f>
        <v/>
      </c>
      <c r="J274" s="27">
        <f>IF(D274&lt;=0,0,MIN(G274+N(H274),D274+F274))</f>
        <v/>
      </c>
      <c r="K274" s="25">
        <f>IF(J274&lt;=0,0,MAX(0,J274-F274))</f>
        <v/>
      </c>
      <c r="L274" s="27">
        <f>IF(D274&lt;=0,0,MAX(0,D274-K274))</f>
        <v/>
      </c>
      <c r="M274" s="28">
        <f>IF(OR(L274&lt;=0,G274&lt;=L274*E274/12),0,MAX(0,ROUNDUP(-LN(1-L274*(E274/12)/G274)/LN(1+E274/12),0)))</f>
        <v/>
      </c>
    </row>
    <row r="275" ht="18" customHeight="1">
      <c r="A275" s="13" t="n">
        <v>273</v>
      </c>
      <c r="B275" s="14">
        <f>IF(C275&lt;=Parametry!$C$6,DATE(Parametry!$C$12+INT((Parametry!$C$13+273-2)/12),MOD(Parametry!$C$13+273-2,12)+1,Parametry!$C$11),"")</f>
        <v/>
      </c>
      <c r="C275" s="15" t="n">
        <v>273</v>
      </c>
      <c r="D275" s="16">
        <f>IF(C275&lt;=Parametry!$C$6,L274,0)</f>
        <v/>
      </c>
      <c r="E275" s="17">
        <f>IF(OR(D275&lt;=0,C275&gt;Parametry!$C$6),0,IF(C275&lt;=Parametry!$C$9,Parametry!$C$8,Parametry!$C$10))</f>
        <v/>
      </c>
      <c r="F275" s="16">
        <f>IF(D275&lt;=0,0,D275*E275/12)</f>
        <v/>
      </c>
      <c r="G275" s="16">
        <f>IF(OR(D275&lt;=0,C275&gt;Parametry!$C$6),0,ROUND(-PMT(E275/12,MAX(1,Parametry!$C$6-C275+1),D275),2))</f>
        <v/>
      </c>
      <c r="H275" s="18" t="n"/>
      <c r="I275" s="19">
        <f>IF(OR(L275&lt;=0,C275&gt;=Parametry!$C$6),0,ROUND(-PMT(IF(C275+1&lt;=Parametry!$C$9,Parametry!$C$8,Parametry!$C$10)/12,MAX(1,Parametry!$C$6-C275),L275),2))</f>
        <v/>
      </c>
      <c r="J275" s="20">
        <f>IF(D275&lt;=0,0,MIN(G275+N(H275),D275+F275))</f>
        <v/>
      </c>
      <c r="K275" s="16">
        <f>IF(J275&lt;=0,0,MAX(0,J275-F275))</f>
        <v/>
      </c>
      <c r="L275" s="20">
        <f>IF(D275&lt;=0,0,MAX(0,D275-K275))</f>
        <v/>
      </c>
      <c r="M275" s="21">
        <f>IF(OR(L275&lt;=0,G275&lt;=L275*E275/12),0,MAX(0,ROUNDUP(-LN(1-L275*(E275/12)/G275)/LN(1+E275/12),0)))</f>
        <v/>
      </c>
    </row>
    <row r="276" ht="18" customHeight="1">
      <c r="A276" s="22" t="n">
        <v>274</v>
      </c>
      <c r="B276" s="23">
        <f>IF(C276&lt;=Parametry!$C$6,DATE(Parametry!$C$12+INT((Parametry!$C$13+274-2)/12),MOD(Parametry!$C$13+274-2,12)+1,Parametry!$C$11),"")</f>
        <v/>
      </c>
      <c r="C276" s="24" t="n">
        <v>274</v>
      </c>
      <c r="D276" s="25">
        <f>IF(C276&lt;=Parametry!$C$6,L275,0)</f>
        <v/>
      </c>
      <c r="E276" s="26">
        <f>IF(OR(D276&lt;=0,C276&gt;Parametry!$C$6),0,IF(C276&lt;=Parametry!$C$9,Parametry!$C$8,Parametry!$C$10))</f>
        <v/>
      </c>
      <c r="F276" s="25">
        <f>IF(D276&lt;=0,0,D276*E276/12)</f>
        <v/>
      </c>
      <c r="G276" s="25">
        <f>IF(OR(D276&lt;=0,C276&gt;Parametry!$C$6),0,ROUND(-PMT(E276/12,MAX(1,Parametry!$C$6-C276+1),D276),2))</f>
        <v/>
      </c>
      <c r="H276" s="18" t="n"/>
      <c r="I276" s="19">
        <f>IF(OR(L276&lt;=0,C276&gt;=Parametry!$C$6),0,ROUND(-PMT(IF(C276+1&lt;=Parametry!$C$9,Parametry!$C$8,Parametry!$C$10)/12,MAX(1,Parametry!$C$6-C276),L276),2))</f>
        <v/>
      </c>
      <c r="J276" s="27">
        <f>IF(D276&lt;=0,0,MIN(G276+N(H276),D276+F276))</f>
        <v/>
      </c>
      <c r="K276" s="25">
        <f>IF(J276&lt;=0,0,MAX(0,J276-F276))</f>
        <v/>
      </c>
      <c r="L276" s="27">
        <f>IF(D276&lt;=0,0,MAX(0,D276-K276))</f>
        <v/>
      </c>
      <c r="M276" s="28">
        <f>IF(OR(L276&lt;=0,G276&lt;=L276*E276/12),0,MAX(0,ROUNDUP(-LN(1-L276*(E276/12)/G276)/LN(1+E276/12),0)))</f>
        <v/>
      </c>
    </row>
    <row r="277" ht="18" customHeight="1">
      <c r="A277" s="13" t="n">
        <v>275</v>
      </c>
      <c r="B277" s="14">
        <f>IF(C277&lt;=Parametry!$C$6,DATE(Parametry!$C$12+INT((Parametry!$C$13+275-2)/12),MOD(Parametry!$C$13+275-2,12)+1,Parametry!$C$11),"")</f>
        <v/>
      </c>
      <c r="C277" s="15" t="n">
        <v>275</v>
      </c>
      <c r="D277" s="16">
        <f>IF(C277&lt;=Parametry!$C$6,L276,0)</f>
        <v/>
      </c>
      <c r="E277" s="17">
        <f>IF(OR(D277&lt;=0,C277&gt;Parametry!$C$6),0,IF(C277&lt;=Parametry!$C$9,Parametry!$C$8,Parametry!$C$10))</f>
        <v/>
      </c>
      <c r="F277" s="16">
        <f>IF(D277&lt;=0,0,D277*E277/12)</f>
        <v/>
      </c>
      <c r="G277" s="16">
        <f>IF(OR(D277&lt;=0,C277&gt;Parametry!$C$6),0,ROUND(-PMT(E277/12,MAX(1,Parametry!$C$6-C277+1),D277),2))</f>
        <v/>
      </c>
      <c r="H277" s="18" t="n"/>
      <c r="I277" s="19">
        <f>IF(OR(L277&lt;=0,C277&gt;=Parametry!$C$6),0,ROUND(-PMT(IF(C277+1&lt;=Parametry!$C$9,Parametry!$C$8,Parametry!$C$10)/12,MAX(1,Parametry!$C$6-C277),L277),2))</f>
        <v/>
      </c>
      <c r="J277" s="20">
        <f>IF(D277&lt;=0,0,MIN(G277+N(H277),D277+F277))</f>
        <v/>
      </c>
      <c r="K277" s="16">
        <f>IF(J277&lt;=0,0,MAX(0,J277-F277))</f>
        <v/>
      </c>
      <c r="L277" s="20">
        <f>IF(D277&lt;=0,0,MAX(0,D277-K277))</f>
        <v/>
      </c>
      <c r="M277" s="21">
        <f>IF(OR(L277&lt;=0,G277&lt;=L277*E277/12),0,MAX(0,ROUNDUP(-LN(1-L277*(E277/12)/G277)/LN(1+E277/12),0)))</f>
        <v/>
      </c>
    </row>
    <row r="278" ht="18" customHeight="1">
      <c r="A278" s="22" t="n">
        <v>276</v>
      </c>
      <c r="B278" s="23">
        <f>IF(C278&lt;=Parametry!$C$6,DATE(Parametry!$C$12+INT((Parametry!$C$13+276-2)/12),MOD(Parametry!$C$13+276-2,12)+1,Parametry!$C$11),"")</f>
        <v/>
      </c>
      <c r="C278" s="24" t="n">
        <v>276</v>
      </c>
      <c r="D278" s="25">
        <f>IF(C278&lt;=Parametry!$C$6,L277,0)</f>
        <v/>
      </c>
      <c r="E278" s="26">
        <f>IF(OR(D278&lt;=0,C278&gt;Parametry!$C$6),0,IF(C278&lt;=Parametry!$C$9,Parametry!$C$8,Parametry!$C$10))</f>
        <v/>
      </c>
      <c r="F278" s="25">
        <f>IF(D278&lt;=0,0,D278*E278/12)</f>
        <v/>
      </c>
      <c r="G278" s="25">
        <f>IF(OR(D278&lt;=0,C278&gt;Parametry!$C$6),0,ROUND(-PMT(E278/12,MAX(1,Parametry!$C$6-C278+1),D278),2))</f>
        <v/>
      </c>
      <c r="H278" s="18" t="n"/>
      <c r="I278" s="19">
        <f>IF(OR(L278&lt;=0,C278&gt;=Parametry!$C$6),0,ROUND(-PMT(IF(C278+1&lt;=Parametry!$C$9,Parametry!$C$8,Parametry!$C$10)/12,MAX(1,Parametry!$C$6-C278),L278),2))</f>
        <v/>
      </c>
      <c r="J278" s="27">
        <f>IF(D278&lt;=0,0,MIN(G278+N(H278),D278+F278))</f>
        <v/>
      </c>
      <c r="K278" s="25">
        <f>IF(J278&lt;=0,0,MAX(0,J278-F278))</f>
        <v/>
      </c>
      <c r="L278" s="27">
        <f>IF(D278&lt;=0,0,MAX(0,D278-K278))</f>
        <v/>
      </c>
      <c r="M278" s="28">
        <f>IF(OR(L278&lt;=0,G278&lt;=L278*E278/12),0,MAX(0,ROUNDUP(-LN(1-L278*(E278/12)/G278)/LN(1+E278/12),0)))</f>
        <v/>
      </c>
    </row>
    <row r="279" ht="18" customHeight="1">
      <c r="A279" s="13" t="n">
        <v>277</v>
      </c>
      <c r="B279" s="14">
        <f>IF(C279&lt;=Parametry!$C$6,DATE(Parametry!$C$12+INT((Parametry!$C$13+277-2)/12),MOD(Parametry!$C$13+277-2,12)+1,Parametry!$C$11),"")</f>
        <v/>
      </c>
      <c r="C279" s="15" t="n">
        <v>277</v>
      </c>
      <c r="D279" s="16">
        <f>IF(C279&lt;=Parametry!$C$6,L278,0)</f>
        <v/>
      </c>
      <c r="E279" s="17">
        <f>IF(OR(D279&lt;=0,C279&gt;Parametry!$C$6),0,IF(C279&lt;=Parametry!$C$9,Parametry!$C$8,Parametry!$C$10))</f>
        <v/>
      </c>
      <c r="F279" s="16">
        <f>IF(D279&lt;=0,0,D279*E279/12)</f>
        <v/>
      </c>
      <c r="G279" s="16">
        <f>IF(OR(D279&lt;=0,C279&gt;Parametry!$C$6),0,ROUND(-PMT(E279/12,MAX(1,Parametry!$C$6-C279+1),D279),2))</f>
        <v/>
      </c>
      <c r="H279" s="18" t="n"/>
      <c r="I279" s="19">
        <f>IF(OR(L279&lt;=0,C279&gt;=Parametry!$C$6),0,ROUND(-PMT(IF(C279+1&lt;=Parametry!$C$9,Parametry!$C$8,Parametry!$C$10)/12,MAX(1,Parametry!$C$6-C279),L279),2))</f>
        <v/>
      </c>
      <c r="J279" s="20">
        <f>IF(D279&lt;=0,0,MIN(G279+N(H279),D279+F279))</f>
        <v/>
      </c>
      <c r="K279" s="16">
        <f>IF(J279&lt;=0,0,MAX(0,J279-F279))</f>
        <v/>
      </c>
      <c r="L279" s="20">
        <f>IF(D279&lt;=0,0,MAX(0,D279-K279))</f>
        <v/>
      </c>
      <c r="M279" s="21">
        <f>IF(OR(L279&lt;=0,G279&lt;=L279*E279/12),0,MAX(0,ROUNDUP(-LN(1-L279*(E279/12)/G279)/LN(1+E279/12),0)))</f>
        <v/>
      </c>
    </row>
    <row r="280" ht="18" customHeight="1">
      <c r="A280" s="22" t="n">
        <v>278</v>
      </c>
      <c r="B280" s="23">
        <f>IF(C280&lt;=Parametry!$C$6,DATE(Parametry!$C$12+INT((Parametry!$C$13+278-2)/12),MOD(Parametry!$C$13+278-2,12)+1,Parametry!$C$11),"")</f>
        <v/>
      </c>
      <c r="C280" s="24" t="n">
        <v>278</v>
      </c>
      <c r="D280" s="25">
        <f>IF(C280&lt;=Parametry!$C$6,L279,0)</f>
        <v/>
      </c>
      <c r="E280" s="26">
        <f>IF(OR(D280&lt;=0,C280&gt;Parametry!$C$6),0,IF(C280&lt;=Parametry!$C$9,Parametry!$C$8,Parametry!$C$10))</f>
        <v/>
      </c>
      <c r="F280" s="25">
        <f>IF(D280&lt;=0,0,D280*E280/12)</f>
        <v/>
      </c>
      <c r="G280" s="25">
        <f>IF(OR(D280&lt;=0,C280&gt;Parametry!$C$6),0,ROUND(-PMT(E280/12,MAX(1,Parametry!$C$6-C280+1),D280),2))</f>
        <v/>
      </c>
      <c r="H280" s="18" t="n"/>
      <c r="I280" s="19">
        <f>IF(OR(L280&lt;=0,C280&gt;=Parametry!$C$6),0,ROUND(-PMT(IF(C280+1&lt;=Parametry!$C$9,Parametry!$C$8,Parametry!$C$10)/12,MAX(1,Parametry!$C$6-C280),L280),2))</f>
        <v/>
      </c>
      <c r="J280" s="27">
        <f>IF(D280&lt;=0,0,MIN(G280+N(H280),D280+F280))</f>
        <v/>
      </c>
      <c r="K280" s="25">
        <f>IF(J280&lt;=0,0,MAX(0,J280-F280))</f>
        <v/>
      </c>
      <c r="L280" s="27">
        <f>IF(D280&lt;=0,0,MAX(0,D280-K280))</f>
        <v/>
      </c>
      <c r="M280" s="28">
        <f>IF(OR(L280&lt;=0,G280&lt;=L280*E280/12),0,MAX(0,ROUNDUP(-LN(1-L280*(E280/12)/G280)/LN(1+E280/12),0)))</f>
        <v/>
      </c>
    </row>
    <row r="281" ht="18" customHeight="1">
      <c r="A281" s="13" t="n">
        <v>279</v>
      </c>
      <c r="B281" s="14">
        <f>IF(C281&lt;=Parametry!$C$6,DATE(Parametry!$C$12+INT((Parametry!$C$13+279-2)/12),MOD(Parametry!$C$13+279-2,12)+1,Parametry!$C$11),"")</f>
        <v/>
      </c>
      <c r="C281" s="15" t="n">
        <v>279</v>
      </c>
      <c r="D281" s="16">
        <f>IF(C281&lt;=Parametry!$C$6,L280,0)</f>
        <v/>
      </c>
      <c r="E281" s="17">
        <f>IF(OR(D281&lt;=0,C281&gt;Parametry!$C$6),0,IF(C281&lt;=Parametry!$C$9,Parametry!$C$8,Parametry!$C$10))</f>
        <v/>
      </c>
      <c r="F281" s="16">
        <f>IF(D281&lt;=0,0,D281*E281/12)</f>
        <v/>
      </c>
      <c r="G281" s="16">
        <f>IF(OR(D281&lt;=0,C281&gt;Parametry!$C$6),0,ROUND(-PMT(E281/12,MAX(1,Parametry!$C$6-C281+1),D281),2))</f>
        <v/>
      </c>
      <c r="H281" s="18" t="n"/>
      <c r="I281" s="19">
        <f>IF(OR(L281&lt;=0,C281&gt;=Parametry!$C$6),0,ROUND(-PMT(IF(C281+1&lt;=Parametry!$C$9,Parametry!$C$8,Parametry!$C$10)/12,MAX(1,Parametry!$C$6-C281),L281),2))</f>
        <v/>
      </c>
      <c r="J281" s="20">
        <f>IF(D281&lt;=0,0,MIN(G281+N(H281),D281+F281))</f>
        <v/>
      </c>
      <c r="K281" s="16">
        <f>IF(J281&lt;=0,0,MAX(0,J281-F281))</f>
        <v/>
      </c>
      <c r="L281" s="20">
        <f>IF(D281&lt;=0,0,MAX(0,D281-K281))</f>
        <v/>
      </c>
      <c r="M281" s="21">
        <f>IF(OR(L281&lt;=0,G281&lt;=L281*E281/12),0,MAX(0,ROUNDUP(-LN(1-L281*(E281/12)/G281)/LN(1+E281/12),0)))</f>
        <v/>
      </c>
    </row>
    <row r="282" ht="18" customHeight="1">
      <c r="A282" s="22" t="n">
        <v>280</v>
      </c>
      <c r="B282" s="23">
        <f>IF(C282&lt;=Parametry!$C$6,DATE(Parametry!$C$12+INT((Parametry!$C$13+280-2)/12),MOD(Parametry!$C$13+280-2,12)+1,Parametry!$C$11),"")</f>
        <v/>
      </c>
      <c r="C282" s="24" t="n">
        <v>280</v>
      </c>
      <c r="D282" s="25">
        <f>IF(C282&lt;=Parametry!$C$6,L281,0)</f>
        <v/>
      </c>
      <c r="E282" s="26">
        <f>IF(OR(D282&lt;=0,C282&gt;Parametry!$C$6),0,IF(C282&lt;=Parametry!$C$9,Parametry!$C$8,Parametry!$C$10))</f>
        <v/>
      </c>
      <c r="F282" s="25">
        <f>IF(D282&lt;=0,0,D282*E282/12)</f>
        <v/>
      </c>
      <c r="G282" s="25">
        <f>IF(OR(D282&lt;=0,C282&gt;Parametry!$C$6),0,ROUND(-PMT(E282/12,MAX(1,Parametry!$C$6-C282+1),D282),2))</f>
        <v/>
      </c>
      <c r="H282" s="18" t="n"/>
      <c r="I282" s="19">
        <f>IF(OR(L282&lt;=0,C282&gt;=Parametry!$C$6),0,ROUND(-PMT(IF(C282+1&lt;=Parametry!$C$9,Parametry!$C$8,Parametry!$C$10)/12,MAX(1,Parametry!$C$6-C282),L282),2))</f>
        <v/>
      </c>
      <c r="J282" s="27">
        <f>IF(D282&lt;=0,0,MIN(G282+N(H282),D282+F282))</f>
        <v/>
      </c>
      <c r="K282" s="25">
        <f>IF(J282&lt;=0,0,MAX(0,J282-F282))</f>
        <v/>
      </c>
      <c r="L282" s="27">
        <f>IF(D282&lt;=0,0,MAX(0,D282-K282))</f>
        <v/>
      </c>
      <c r="M282" s="28">
        <f>IF(OR(L282&lt;=0,G282&lt;=L282*E282/12),0,MAX(0,ROUNDUP(-LN(1-L282*(E282/12)/G282)/LN(1+E282/12),0)))</f>
        <v/>
      </c>
    </row>
    <row r="283" ht="18" customHeight="1">
      <c r="A283" s="13" t="n">
        <v>281</v>
      </c>
      <c r="B283" s="14">
        <f>IF(C283&lt;=Parametry!$C$6,DATE(Parametry!$C$12+INT((Parametry!$C$13+281-2)/12),MOD(Parametry!$C$13+281-2,12)+1,Parametry!$C$11),"")</f>
        <v/>
      </c>
      <c r="C283" s="15" t="n">
        <v>281</v>
      </c>
      <c r="D283" s="16">
        <f>IF(C283&lt;=Parametry!$C$6,L282,0)</f>
        <v/>
      </c>
      <c r="E283" s="17">
        <f>IF(OR(D283&lt;=0,C283&gt;Parametry!$C$6),0,IF(C283&lt;=Parametry!$C$9,Parametry!$C$8,Parametry!$C$10))</f>
        <v/>
      </c>
      <c r="F283" s="16">
        <f>IF(D283&lt;=0,0,D283*E283/12)</f>
        <v/>
      </c>
      <c r="G283" s="16">
        <f>IF(OR(D283&lt;=0,C283&gt;Parametry!$C$6),0,ROUND(-PMT(E283/12,MAX(1,Parametry!$C$6-C283+1),D283),2))</f>
        <v/>
      </c>
      <c r="H283" s="18" t="n"/>
      <c r="I283" s="19">
        <f>IF(OR(L283&lt;=0,C283&gt;=Parametry!$C$6),0,ROUND(-PMT(IF(C283+1&lt;=Parametry!$C$9,Parametry!$C$8,Parametry!$C$10)/12,MAX(1,Parametry!$C$6-C283),L283),2))</f>
        <v/>
      </c>
      <c r="J283" s="20">
        <f>IF(D283&lt;=0,0,MIN(G283+N(H283),D283+F283))</f>
        <v/>
      </c>
      <c r="K283" s="16">
        <f>IF(J283&lt;=0,0,MAX(0,J283-F283))</f>
        <v/>
      </c>
      <c r="L283" s="20">
        <f>IF(D283&lt;=0,0,MAX(0,D283-K283))</f>
        <v/>
      </c>
      <c r="M283" s="21">
        <f>IF(OR(L283&lt;=0,G283&lt;=L283*E283/12),0,MAX(0,ROUNDUP(-LN(1-L283*(E283/12)/G283)/LN(1+E283/12),0)))</f>
        <v/>
      </c>
    </row>
    <row r="284" ht="18" customHeight="1">
      <c r="A284" s="22" t="n">
        <v>282</v>
      </c>
      <c r="B284" s="23">
        <f>IF(C284&lt;=Parametry!$C$6,DATE(Parametry!$C$12+INT((Parametry!$C$13+282-2)/12),MOD(Parametry!$C$13+282-2,12)+1,Parametry!$C$11),"")</f>
        <v/>
      </c>
      <c r="C284" s="24" t="n">
        <v>282</v>
      </c>
      <c r="D284" s="25">
        <f>IF(C284&lt;=Parametry!$C$6,L283,0)</f>
        <v/>
      </c>
      <c r="E284" s="26">
        <f>IF(OR(D284&lt;=0,C284&gt;Parametry!$C$6),0,IF(C284&lt;=Parametry!$C$9,Parametry!$C$8,Parametry!$C$10))</f>
        <v/>
      </c>
      <c r="F284" s="25">
        <f>IF(D284&lt;=0,0,D284*E284/12)</f>
        <v/>
      </c>
      <c r="G284" s="25">
        <f>IF(OR(D284&lt;=0,C284&gt;Parametry!$C$6),0,ROUND(-PMT(E284/12,MAX(1,Parametry!$C$6-C284+1),D284),2))</f>
        <v/>
      </c>
      <c r="H284" s="18" t="n"/>
      <c r="I284" s="19">
        <f>IF(OR(L284&lt;=0,C284&gt;=Parametry!$C$6),0,ROUND(-PMT(IF(C284+1&lt;=Parametry!$C$9,Parametry!$C$8,Parametry!$C$10)/12,MAX(1,Parametry!$C$6-C284),L284),2))</f>
        <v/>
      </c>
      <c r="J284" s="27">
        <f>IF(D284&lt;=0,0,MIN(G284+N(H284),D284+F284))</f>
        <v/>
      </c>
      <c r="K284" s="25">
        <f>IF(J284&lt;=0,0,MAX(0,J284-F284))</f>
        <v/>
      </c>
      <c r="L284" s="27">
        <f>IF(D284&lt;=0,0,MAX(0,D284-K284))</f>
        <v/>
      </c>
      <c r="M284" s="28">
        <f>IF(OR(L284&lt;=0,G284&lt;=L284*E284/12),0,MAX(0,ROUNDUP(-LN(1-L284*(E284/12)/G284)/LN(1+E284/12),0)))</f>
        <v/>
      </c>
    </row>
    <row r="285" ht="18" customHeight="1">
      <c r="A285" s="13" t="n">
        <v>283</v>
      </c>
      <c r="B285" s="14">
        <f>IF(C285&lt;=Parametry!$C$6,DATE(Parametry!$C$12+INT((Parametry!$C$13+283-2)/12),MOD(Parametry!$C$13+283-2,12)+1,Parametry!$C$11),"")</f>
        <v/>
      </c>
      <c r="C285" s="15" t="n">
        <v>283</v>
      </c>
      <c r="D285" s="16">
        <f>IF(C285&lt;=Parametry!$C$6,L284,0)</f>
        <v/>
      </c>
      <c r="E285" s="17">
        <f>IF(OR(D285&lt;=0,C285&gt;Parametry!$C$6),0,IF(C285&lt;=Parametry!$C$9,Parametry!$C$8,Parametry!$C$10))</f>
        <v/>
      </c>
      <c r="F285" s="16">
        <f>IF(D285&lt;=0,0,D285*E285/12)</f>
        <v/>
      </c>
      <c r="G285" s="16">
        <f>IF(OR(D285&lt;=0,C285&gt;Parametry!$C$6),0,ROUND(-PMT(E285/12,MAX(1,Parametry!$C$6-C285+1),D285),2))</f>
        <v/>
      </c>
      <c r="H285" s="18" t="n"/>
      <c r="I285" s="19">
        <f>IF(OR(L285&lt;=0,C285&gt;=Parametry!$C$6),0,ROUND(-PMT(IF(C285+1&lt;=Parametry!$C$9,Parametry!$C$8,Parametry!$C$10)/12,MAX(1,Parametry!$C$6-C285),L285),2))</f>
        <v/>
      </c>
      <c r="J285" s="20">
        <f>IF(D285&lt;=0,0,MIN(G285+N(H285),D285+F285))</f>
        <v/>
      </c>
      <c r="K285" s="16">
        <f>IF(J285&lt;=0,0,MAX(0,J285-F285))</f>
        <v/>
      </c>
      <c r="L285" s="20">
        <f>IF(D285&lt;=0,0,MAX(0,D285-K285))</f>
        <v/>
      </c>
      <c r="M285" s="21">
        <f>IF(OR(L285&lt;=0,G285&lt;=L285*E285/12),0,MAX(0,ROUNDUP(-LN(1-L285*(E285/12)/G285)/LN(1+E285/12),0)))</f>
        <v/>
      </c>
    </row>
    <row r="286" ht="18" customHeight="1">
      <c r="A286" s="22" t="n">
        <v>284</v>
      </c>
      <c r="B286" s="23">
        <f>IF(C286&lt;=Parametry!$C$6,DATE(Parametry!$C$12+INT((Parametry!$C$13+284-2)/12),MOD(Parametry!$C$13+284-2,12)+1,Parametry!$C$11),"")</f>
        <v/>
      </c>
      <c r="C286" s="24" t="n">
        <v>284</v>
      </c>
      <c r="D286" s="25">
        <f>IF(C286&lt;=Parametry!$C$6,L285,0)</f>
        <v/>
      </c>
      <c r="E286" s="26">
        <f>IF(OR(D286&lt;=0,C286&gt;Parametry!$C$6),0,IF(C286&lt;=Parametry!$C$9,Parametry!$C$8,Parametry!$C$10))</f>
        <v/>
      </c>
      <c r="F286" s="25">
        <f>IF(D286&lt;=0,0,D286*E286/12)</f>
        <v/>
      </c>
      <c r="G286" s="25">
        <f>IF(OR(D286&lt;=0,C286&gt;Parametry!$C$6),0,ROUND(-PMT(E286/12,MAX(1,Parametry!$C$6-C286+1),D286),2))</f>
        <v/>
      </c>
      <c r="H286" s="18" t="n"/>
      <c r="I286" s="19">
        <f>IF(OR(L286&lt;=0,C286&gt;=Parametry!$C$6),0,ROUND(-PMT(IF(C286+1&lt;=Parametry!$C$9,Parametry!$C$8,Parametry!$C$10)/12,MAX(1,Parametry!$C$6-C286),L286),2))</f>
        <v/>
      </c>
      <c r="J286" s="27">
        <f>IF(D286&lt;=0,0,MIN(G286+N(H286),D286+F286))</f>
        <v/>
      </c>
      <c r="K286" s="25">
        <f>IF(J286&lt;=0,0,MAX(0,J286-F286))</f>
        <v/>
      </c>
      <c r="L286" s="27">
        <f>IF(D286&lt;=0,0,MAX(0,D286-K286))</f>
        <v/>
      </c>
      <c r="M286" s="28">
        <f>IF(OR(L286&lt;=0,G286&lt;=L286*E286/12),0,MAX(0,ROUNDUP(-LN(1-L286*(E286/12)/G286)/LN(1+E286/12),0)))</f>
        <v/>
      </c>
    </row>
    <row r="287" ht="18" customHeight="1">
      <c r="A287" s="13" t="n">
        <v>285</v>
      </c>
      <c r="B287" s="14">
        <f>IF(C287&lt;=Parametry!$C$6,DATE(Parametry!$C$12+INT((Parametry!$C$13+285-2)/12),MOD(Parametry!$C$13+285-2,12)+1,Parametry!$C$11),"")</f>
        <v/>
      </c>
      <c r="C287" s="15" t="n">
        <v>285</v>
      </c>
      <c r="D287" s="16">
        <f>IF(C287&lt;=Parametry!$C$6,L286,0)</f>
        <v/>
      </c>
      <c r="E287" s="17">
        <f>IF(OR(D287&lt;=0,C287&gt;Parametry!$C$6),0,IF(C287&lt;=Parametry!$C$9,Parametry!$C$8,Parametry!$C$10))</f>
        <v/>
      </c>
      <c r="F287" s="16">
        <f>IF(D287&lt;=0,0,D287*E287/12)</f>
        <v/>
      </c>
      <c r="G287" s="16">
        <f>IF(OR(D287&lt;=0,C287&gt;Parametry!$C$6),0,ROUND(-PMT(E287/12,MAX(1,Parametry!$C$6-C287+1),D287),2))</f>
        <v/>
      </c>
      <c r="H287" s="18" t="n"/>
      <c r="I287" s="19">
        <f>IF(OR(L287&lt;=0,C287&gt;=Parametry!$C$6),0,ROUND(-PMT(IF(C287+1&lt;=Parametry!$C$9,Parametry!$C$8,Parametry!$C$10)/12,MAX(1,Parametry!$C$6-C287),L287),2))</f>
        <v/>
      </c>
      <c r="J287" s="20">
        <f>IF(D287&lt;=0,0,MIN(G287+N(H287),D287+F287))</f>
        <v/>
      </c>
      <c r="K287" s="16">
        <f>IF(J287&lt;=0,0,MAX(0,J287-F287))</f>
        <v/>
      </c>
      <c r="L287" s="20">
        <f>IF(D287&lt;=0,0,MAX(0,D287-K287))</f>
        <v/>
      </c>
      <c r="M287" s="21">
        <f>IF(OR(L287&lt;=0,G287&lt;=L287*E287/12),0,MAX(0,ROUNDUP(-LN(1-L287*(E287/12)/G287)/LN(1+E287/12),0)))</f>
        <v/>
      </c>
    </row>
    <row r="288" ht="18" customHeight="1">
      <c r="A288" s="22" t="n">
        <v>286</v>
      </c>
      <c r="B288" s="23">
        <f>IF(C288&lt;=Parametry!$C$6,DATE(Parametry!$C$12+INT((Parametry!$C$13+286-2)/12),MOD(Parametry!$C$13+286-2,12)+1,Parametry!$C$11),"")</f>
        <v/>
      </c>
      <c r="C288" s="24" t="n">
        <v>286</v>
      </c>
      <c r="D288" s="25">
        <f>IF(C288&lt;=Parametry!$C$6,L287,0)</f>
        <v/>
      </c>
      <c r="E288" s="26">
        <f>IF(OR(D288&lt;=0,C288&gt;Parametry!$C$6),0,IF(C288&lt;=Parametry!$C$9,Parametry!$C$8,Parametry!$C$10))</f>
        <v/>
      </c>
      <c r="F288" s="25">
        <f>IF(D288&lt;=0,0,D288*E288/12)</f>
        <v/>
      </c>
      <c r="G288" s="25">
        <f>IF(OR(D288&lt;=0,C288&gt;Parametry!$C$6),0,ROUND(-PMT(E288/12,MAX(1,Parametry!$C$6-C288+1),D288),2))</f>
        <v/>
      </c>
      <c r="H288" s="18" t="n"/>
      <c r="I288" s="19">
        <f>IF(OR(L288&lt;=0,C288&gt;=Parametry!$C$6),0,ROUND(-PMT(IF(C288+1&lt;=Parametry!$C$9,Parametry!$C$8,Parametry!$C$10)/12,MAX(1,Parametry!$C$6-C288),L288),2))</f>
        <v/>
      </c>
      <c r="J288" s="27">
        <f>IF(D288&lt;=0,0,MIN(G288+N(H288),D288+F288))</f>
        <v/>
      </c>
      <c r="K288" s="25">
        <f>IF(J288&lt;=0,0,MAX(0,J288-F288))</f>
        <v/>
      </c>
      <c r="L288" s="27">
        <f>IF(D288&lt;=0,0,MAX(0,D288-K288))</f>
        <v/>
      </c>
      <c r="M288" s="28">
        <f>IF(OR(L288&lt;=0,G288&lt;=L288*E288/12),0,MAX(0,ROUNDUP(-LN(1-L288*(E288/12)/G288)/LN(1+E288/12),0)))</f>
        <v/>
      </c>
    </row>
    <row r="289" ht="18" customHeight="1">
      <c r="A289" s="13" t="n">
        <v>287</v>
      </c>
      <c r="B289" s="14">
        <f>IF(C289&lt;=Parametry!$C$6,DATE(Parametry!$C$12+INT((Parametry!$C$13+287-2)/12),MOD(Parametry!$C$13+287-2,12)+1,Parametry!$C$11),"")</f>
        <v/>
      </c>
      <c r="C289" s="15" t="n">
        <v>287</v>
      </c>
      <c r="D289" s="16">
        <f>IF(C289&lt;=Parametry!$C$6,L288,0)</f>
        <v/>
      </c>
      <c r="E289" s="17">
        <f>IF(OR(D289&lt;=0,C289&gt;Parametry!$C$6),0,IF(C289&lt;=Parametry!$C$9,Parametry!$C$8,Parametry!$C$10))</f>
        <v/>
      </c>
      <c r="F289" s="16">
        <f>IF(D289&lt;=0,0,D289*E289/12)</f>
        <v/>
      </c>
      <c r="G289" s="16">
        <f>IF(OR(D289&lt;=0,C289&gt;Parametry!$C$6),0,ROUND(-PMT(E289/12,MAX(1,Parametry!$C$6-C289+1),D289),2))</f>
        <v/>
      </c>
      <c r="H289" s="18" t="n"/>
      <c r="I289" s="19">
        <f>IF(OR(L289&lt;=0,C289&gt;=Parametry!$C$6),0,ROUND(-PMT(IF(C289+1&lt;=Parametry!$C$9,Parametry!$C$8,Parametry!$C$10)/12,MAX(1,Parametry!$C$6-C289),L289),2))</f>
        <v/>
      </c>
      <c r="J289" s="20">
        <f>IF(D289&lt;=0,0,MIN(G289+N(H289),D289+F289))</f>
        <v/>
      </c>
      <c r="K289" s="16">
        <f>IF(J289&lt;=0,0,MAX(0,J289-F289))</f>
        <v/>
      </c>
      <c r="L289" s="20">
        <f>IF(D289&lt;=0,0,MAX(0,D289-K289))</f>
        <v/>
      </c>
      <c r="M289" s="21">
        <f>IF(OR(L289&lt;=0,G289&lt;=L289*E289/12),0,MAX(0,ROUNDUP(-LN(1-L289*(E289/12)/G289)/LN(1+E289/12),0)))</f>
        <v/>
      </c>
    </row>
    <row r="290" ht="18" customHeight="1">
      <c r="A290" s="22" t="n">
        <v>288</v>
      </c>
      <c r="B290" s="23">
        <f>IF(C290&lt;=Parametry!$C$6,DATE(Parametry!$C$12+INT((Parametry!$C$13+288-2)/12),MOD(Parametry!$C$13+288-2,12)+1,Parametry!$C$11),"")</f>
        <v/>
      </c>
      <c r="C290" s="24" t="n">
        <v>288</v>
      </c>
      <c r="D290" s="25">
        <f>IF(C290&lt;=Parametry!$C$6,L289,0)</f>
        <v/>
      </c>
      <c r="E290" s="26">
        <f>IF(OR(D290&lt;=0,C290&gt;Parametry!$C$6),0,IF(C290&lt;=Parametry!$C$9,Parametry!$C$8,Parametry!$C$10))</f>
        <v/>
      </c>
      <c r="F290" s="25">
        <f>IF(D290&lt;=0,0,D290*E290/12)</f>
        <v/>
      </c>
      <c r="G290" s="25">
        <f>IF(OR(D290&lt;=0,C290&gt;Parametry!$C$6),0,ROUND(-PMT(E290/12,MAX(1,Parametry!$C$6-C290+1),D290),2))</f>
        <v/>
      </c>
      <c r="H290" s="18" t="n"/>
      <c r="I290" s="19">
        <f>IF(OR(L290&lt;=0,C290&gt;=Parametry!$C$6),0,ROUND(-PMT(IF(C290+1&lt;=Parametry!$C$9,Parametry!$C$8,Parametry!$C$10)/12,MAX(1,Parametry!$C$6-C290),L290),2))</f>
        <v/>
      </c>
      <c r="J290" s="27">
        <f>IF(D290&lt;=0,0,MIN(G290+N(H290),D290+F290))</f>
        <v/>
      </c>
      <c r="K290" s="25">
        <f>IF(J290&lt;=0,0,MAX(0,J290-F290))</f>
        <v/>
      </c>
      <c r="L290" s="27">
        <f>IF(D290&lt;=0,0,MAX(0,D290-K290))</f>
        <v/>
      </c>
      <c r="M290" s="28">
        <f>IF(OR(L290&lt;=0,G290&lt;=L290*E290/12),0,MAX(0,ROUNDUP(-LN(1-L290*(E290/12)/G290)/LN(1+E290/12),0)))</f>
        <v/>
      </c>
    </row>
    <row r="291" ht="18" customHeight="1">
      <c r="A291" s="13" t="n">
        <v>289</v>
      </c>
      <c r="B291" s="14">
        <f>IF(C291&lt;=Parametry!$C$6,DATE(Parametry!$C$12+INT((Parametry!$C$13+289-2)/12),MOD(Parametry!$C$13+289-2,12)+1,Parametry!$C$11),"")</f>
        <v/>
      </c>
      <c r="C291" s="15" t="n">
        <v>289</v>
      </c>
      <c r="D291" s="16">
        <f>IF(C291&lt;=Parametry!$C$6,L290,0)</f>
        <v/>
      </c>
      <c r="E291" s="17">
        <f>IF(OR(D291&lt;=0,C291&gt;Parametry!$C$6),0,IF(C291&lt;=Parametry!$C$9,Parametry!$C$8,Parametry!$C$10))</f>
        <v/>
      </c>
      <c r="F291" s="16">
        <f>IF(D291&lt;=0,0,D291*E291/12)</f>
        <v/>
      </c>
      <c r="G291" s="16">
        <f>IF(OR(D291&lt;=0,C291&gt;Parametry!$C$6),0,ROUND(-PMT(E291/12,MAX(1,Parametry!$C$6-C291+1),D291),2))</f>
        <v/>
      </c>
      <c r="H291" s="18" t="n"/>
      <c r="I291" s="19">
        <f>IF(OR(L291&lt;=0,C291&gt;=Parametry!$C$6),0,ROUND(-PMT(IF(C291+1&lt;=Parametry!$C$9,Parametry!$C$8,Parametry!$C$10)/12,MAX(1,Parametry!$C$6-C291),L291),2))</f>
        <v/>
      </c>
      <c r="J291" s="20">
        <f>IF(D291&lt;=0,0,MIN(G291+N(H291),D291+F291))</f>
        <v/>
      </c>
      <c r="K291" s="16">
        <f>IF(J291&lt;=0,0,MAX(0,J291-F291))</f>
        <v/>
      </c>
      <c r="L291" s="20">
        <f>IF(D291&lt;=0,0,MAX(0,D291-K291))</f>
        <v/>
      </c>
      <c r="M291" s="21">
        <f>IF(OR(L291&lt;=0,G291&lt;=L291*E291/12),0,MAX(0,ROUNDUP(-LN(1-L291*(E291/12)/G291)/LN(1+E291/12),0)))</f>
        <v/>
      </c>
    </row>
    <row r="292" ht="18" customHeight="1">
      <c r="A292" s="22" t="n">
        <v>290</v>
      </c>
      <c r="B292" s="23">
        <f>IF(C292&lt;=Parametry!$C$6,DATE(Parametry!$C$12+INT((Parametry!$C$13+290-2)/12),MOD(Parametry!$C$13+290-2,12)+1,Parametry!$C$11),"")</f>
        <v/>
      </c>
      <c r="C292" s="24" t="n">
        <v>290</v>
      </c>
      <c r="D292" s="25">
        <f>IF(C292&lt;=Parametry!$C$6,L291,0)</f>
        <v/>
      </c>
      <c r="E292" s="26">
        <f>IF(OR(D292&lt;=0,C292&gt;Parametry!$C$6),0,IF(C292&lt;=Parametry!$C$9,Parametry!$C$8,Parametry!$C$10))</f>
        <v/>
      </c>
      <c r="F292" s="25">
        <f>IF(D292&lt;=0,0,D292*E292/12)</f>
        <v/>
      </c>
      <c r="G292" s="25">
        <f>IF(OR(D292&lt;=0,C292&gt;Parametry!$C$6),0,ROUND(-PMT(E292/12,MAX(1,Parametry!$C$6-C292+1),D292),2))</f>
        <v/>
      </c>
      <c r="H292" s="18" t="n"/>
      <c r="I292" s="19">
        <f>IF(OR(L292&lt;=0,C292&gt;=Parametry!$C$6),0,ROUND(-PMT(IF(C292+1&lt;=Parametry!$C$9,Parametry!$C$8,Parametry!$C$10)/12,MAX(1,Parametry!$C$6-C292),L292),2))</f>
        <v/>
      </c>
      <c r="J292" s="27">
        <f>IF(D292&lt;=0,0,MIN(G292+N(H292),D292+F292))</f>
        <v/>
      </c>
      <c r="K292" s="25">
        <f>IF(J292&lt;=0,0,MAX(0,J292-F292))</f>
        <v/>
      </c>
      <c r="L292" s="27">
        <f>IF(D292&lt;=0,0,MAX(0,D292-K292))</f>
        <v/>
      </c>
      <c r="M292" s="28">
        <f>IF(OR(L292&lt;=0,G292&lt;=L292*E292/12),0,MAX(0,ROUNDUP(-LN(1-L292*(E292/12)/G292)/LN(1+E292/12),0)))</f>
        <v/>
      </c>
    </row>
    <row r="293" ht="18" customHeight="1">
      <c r="A293" s="13" t="n">
        <v>291</v>
      </c>
      <c r="B293" s="14">
        <f>IF(C293&lt;=Parametry!$C$6,DATE(Parametry!$C$12+INT((Parametry!$C$13+291-2)/12),MOD(Parametry!$C$13+291-2,12)+1,Parametry!$C$11),"")</f>
        <v/>
      </c>
      <c r="C293" s="15" t="n">
        <v>291</v>
      </c>
      <c r="D293" s="16">
        <f>IF(C293&lt;=Parametry!$C$6,L292,0)</f>
        <v/>
      </c>
      <c r="E293" s="17">
        <f>IF(OR(D293&lt;=0,C293&gt;Parametry!$C$6),0,IF(C293&lt;=Parametry!$C$9,Parametry!$C$8,Parametry!$C$10))</f>
        <v/>
      </c>
      <c r="F293" s="16">
        <f>IF(D293&lt;=0,0,D293*E293/12)</f>
        <v/>
      </c>
      <c r="G293" s="16">
        <f>IF(OR(D293&lt;=0,C293&gt;Parametry!$C$6),0,ROUND(-PMT(E293/12,MAX(1,Parametry!$C$6-C293+1),D293),2))</f>
        <v/>
      </c>
      <c r="H293" s="18" t="n"/>
      <c r="I293" s="19">
        <f>IF(OR(L293&lt;=0,C293&gt;=Parametry!$C$6),0,ROUND(-PMT(IF(C293+1&lt;=Parametry!$C$9,Parametry!$C$8,Parametry!$C$10)/12,MAX(1,Parametry!$C$6-C293),L293),2))</f>
        <v/>
      </c>
      <c r="J293" s="20">
        <f>IF(D293&lt;=0,0,MIN(G293+N(H293),D293+F293))</f>
        <v/>
      </c>
      <c r="K293" s="16">
        <f>IF(J293&lt;=0,0,MAX(0,J293-F293))</f>
        <v/>
      </c>
      <c r="L293" s="20">
        <f>IF(D293&lt;=0,0,MAX(0,D293-K293))</f>
        <v/>
      </c>
      <c r="M293" s="21">
        <f>IF(OR(L293&lt;=0,G293&lt;=L293*E293/12),0,MAX(0,ROUNDUP(-LN(1-L293*(E293/12)/G293)/LN(1+E293/12),0)))</f>
        <v/>
      </c>
    </row>
    <row r="294" ht="18" customHeight="1">
      <c r="A294" s="22" t="n">
        <v>292</v>
      </c>
      <c r="B294" s="23">
        <f>IF(C294&lt;=Parametry!$C$6,DATE(Parametry!$C$12+INT((Parametry!$C$13+292-2)/12),MOD(Parametry!$C$13+292-2,12)+1,Parametry!$C$11),"")</f>
        <v/>
      </c>
      <c r="C294" s="24" t="n">
        <v>292</v>
      </c>
      <c r="D294" s="25">
        <f>IF(C294&lt;=Parametry!$C$6,L293,0)</f>
        <v/>
      </c>
      <c r="E294" s="26">
        <f>IF(OR(D294&lt;=0,C294&gt;Parametry!$C$6),0,IF(C294&lt;=Parametry!$C$9,Parametry!$C$8,Parametry!$C$10))</f>
        <v/>
      </c>
      <c r="F294" s="25">
        <f>IF(D294&lt;=0,0,D294*E294/12)</f>
        <v/>
      </c>
      <c r="G294" s="25">
        <f>IF(OR(D294&lt;=0,C294&gt;Parametry!$C$6),0,ROUND(-PMT(E294/12,MAX(1,Parametry!$C$6-C294+1),D294),2))</f>
        <v/>
      </c>
      <c r="H294" s="18" t="n"/>
      <c r="I294" s="19">
        <f>IF(OR(L294&lt;=0,C294&gt;=Parametry!$C$6),0,ROUND(-PMT(IF(C294+1&lt;=Parametry!$C$9,Parametry!$C$8,Parametry!$C$10)/12,MAX(1,Parametry!$C$6-C294),L294),2))</f>
        <v/>
      </c>
      <c r="J294" s="27">
        <f>IF(D294&lt;=0,0,MIN(G294+N(H294),D294+F294))</f>
        <v/>
      </c>
      <c r="K294" s="25">
        <f>IF(J294&lt;=0,0,MAX(0,J294-F294))</f>
        <v/>
      </c>
      <c r="L294" s="27">
        <f>IF(D294&lt;=0,0,MAX(0,D294-K294))</f>
        <v/>
      </c>
      <c r="M294" s="28">
        <f>IF(OR(L294&lt;=0,G294&lt;=L294*E294/12),0,MAX(0,ROUNDUP(-LN(1-L294*(E294/12)/G294)/LN(1+E294/12),0)))</f>
        <v/>
      </c>
    </row>
    <row r="295" ht="18" customHeight="1">
      <c r="A295" s="13" t="n">
        <v>293</v>
      </c>
      <c r="B295" s="14">
        <f>IF(C295&lt;=Parametry!$C$6,DATE(Parametry!$C$12+INT((Parametry!$C$13+293-2)/12),MOD(Parametry!$C$13+293-2,12)+1,Parametry!$C$11),"")</f>
        <v/>
      </c>
      <c r="C295" s="15" t="n">
        <v>293</v>
      </c>
      <c r="D295" s="16">
        <f>IF(C295&lt;=Parametry!$C$6,L294,0)</f>
        <v/>
      </c>
      <c r="E295" s="17">
        <f>IF(OR(D295&lt;=0,C295&gt;Parametry!$C$6),0,IF(C295&lt;=Parametry!$C$9,Parametry!$C$8,Parametry!$C$10))</f>
        <v/>
      </c>
      <c r="F295" s="16">
        <f>IF(D295&lt;=0,0,D295*E295/12)</f>
        <v/>
      </c>
      <c r="G295" s="16">
        <f>IF(OR(D295&lt;=0,C295&gt;Parametry!$C$6),0,ROUND(-PMT(E295/12,MAX(1,Parametry!$C$6-C295+1),D295),2))</f>
        <v/>
      </c>
      <c r="H295" s="18" t="n"/>
      <c r="I295" s="19">
        <f>IF(OR(L295&lt;=0,C295&gt;=Parametry!$C$6),0,ROUND(-PMT(IF(C295+1&lt;=Parametry!$C$9,Parametry!$C$8,Parametry!$C$10)/12,MAX(1,Parametry!$C$6-C295),L295),2))</f>
        <v/>
      </c>
      <c r="J295" s="20">
        <f>IF(D295&lt;=0,0,MIN(G295+N(H295),D295+F295))</f>
        <v/>
      </c>
      <c r="K295" s="16">
        <f>IF(J295&lt;=0,0,MAX(0,J295-F295))</f>
        <v/>
      </c>
      <c r="L295" s="20">
        <f>IF(D295&lt;=0,0,MAX(0,D295-K295))</f>
        <v/>
      </c>
      <c r="M295" s="21">
        <f>IF(OR(L295&lt;=0,G295&lt;=L295*E295/12),0,MAX(0,ROUNDUP(-LN(1-L295*(E295/12)/G295)/LN(1+E295/12),0)))</f>
        <v/>
      </c>
    </row>
    <row r="296" ht="18" customHeight="1">
      <c r="A296" s="22" t="n">
        <v>294</v>
      </c>
      <c r="B296" s="23">
        <f>IF(C296&lt;=Parametry!$C$6,DATE(Parametry!$C$12+INT((Parametry!$C$13+294-2)/12),MOD(Parametry!$C$13+294-2,12)+1,Parametry!$C$11),"")</f>
        <v/>
      </c>
      <c r="C296" s="24" t="n">
        <v>294</v>
      </c>
      <c r="D296" s="25">
        <f>IF(C296&lt;=Parametry!$C$6,L295,0)</f>
        <v/>
      </c>
      <c r="E296" s="26">
        <f>IF(OR(D296&lt;=0,C296&gt;Parametry!$C$6),0,IF(C296&lt;=Parametry!$C$9,Parametry!$C$8,Parametry!$C$10))</f>
        <v/>
      </c>
      <c r="F296" s="25">
        <f>IF(D296&lt;=0,0,D296*E296/12)</f>
        <v/>
      </c>
      <c r="G296" s="25">
        <f>IF(OR(D296&lt;=0,C296&gt;Parametry!$C$6),0,ROUND(-PMT(E296/12,MAX(1,Parametry!$C$6-C296+1),D296),2))</f>
        <v/>
      </c>
      <c r="H296" s="18" t="n"/>
      <c r="I296" s="19">
        <f>IF(OR(L296&lt;=0,C296&gt;=Parametry!$C$6),0,ROUND(-PMT(IF(C296+1&lt;=Parametry!$C$9,Parametry!$C$8,Parametry!$C$10)/12,MAX(1,Parametry!$C$6-C296),L296),2))</f>
        <v/>
      </c>
      <c r="J296" s="27">
        <f>IF(D296&lt;=0,0,MIN(G296+N(H296),D296+F296))</f>
        <v/>
      </c>
      <c r="K296" s="25">
        <f>IF(J296&lt;=0,0,MAX(0,J296-F296))</f>
        <v/>
      </c>
      <c r="L296" s="27">
        <f>IF(D296&lt;=0,0,MAX(0,D296-K296))</f>
        <v/>
      </c>
      <c r="M296" s="28">
        <f>IF(OR(L296&lt;=0,G296&lt;=L296*E296/12),0,MAX(0,ROUNDUP(-LN(1-L296*(E296/12)/G296)/LN(1+E296/12),0)))</f>
        <v/>
      </c>
    </row>
    <row r="297" ht="18" customHeight="1">
      <c r="A297" s="13" t="n">
        <v>295</v>
      </c>
      <c r="B297" s="14">
        <f>IF(C297&lt;=Parametry!$C$6,DATE(Parametry!$C$12+INT((Parametry!$C$13+295-2)/12),MOD(Parametry!$C$13+295-2,12)+1,Parametry!$C$11),"")</f>
        <v/>
      </c>
      <c r="C297" s="15" t="n">
        <v>295</v>
      </c>
      <c r="D297" s="16">
        <f>IF(C297&lt;=Parametry!$C$6,L296,0)</f>
        <v/>
      </c>
      <c r="E297" s="17">
        <f>IF(OR(D297&lt;=0,C297&gt;Parametry!$C$6),0,IF(C297&lt;=Parametry!$C$9,Parametry!$C$8,Parametry!$C$10))</f>
        <v/>
      </c>
      <c r="F297" s="16">
        <f>IF(D297&lt;=0,0,D297*E297/12)</f>
        <v/>
      </c>
      <c r="G297" s="16">
        <f>IF(OR(D297&lt;=0,C297&gt;Parametry!$C$6),0,ROUND(-PMT(E297/12,MAX(1,Parametry!$C$6-C297+1),D297),2))</f>
        <v/>
      </c>
      <c r="H297" s="18" t="n"/>
      <c r="I297" s="19">
        <f>IF(OR(L297&lt;=0,C297&gt;=Parametry!$C$6),0,ROUND(-PMT(IF(C297+1&lt;=Parametry!$C$9,Parametry!$C$8,Parametry!$C$10)/12,MAX(1,Parametry!$C$6-C297),L297),2))</f>
        <v/>
      </c>
      <c r="J297" s="20">
        <f>IF(D297&lt;=0,0,MIN(G297+N(H297),D297+F297))</f>
        <v/>
      </c>
      <c r="K297" s="16">
        <f>IF(J297&lt;=0,0,MAX(0,J297-F297))</f>
        <v/>
      </c>
      <c r="L297" s="20">
        <f>IF(D297&lt;=0,0,MAX(0,D297-K297))</f>
        <v/>
      </c>
      <c r="M297" s="21">
        <f>IF(OR(L297&lt;=0,G297&lt;=L297*E297/12),0,MAX(0,ROUNDUP(-LN(1-L297*(E297/12)/G297)/LN(1+E297/12),0)))</f>
        <v/>
      </c>
    </row>
    <row r="298" ht="18" customHeight="1">
      <c r="A298" s="22" t="n">
        <v>296</v>
      </c>
      <c r="B298" s="23">
        <f>IF(C298&lt;=Parametry!$C$6,DATE(Parametry!$C$12+INT((Parametry!$C$13+296-2)/12),MOD(Parametry!$C$13+296-2,12)+1,Parametry!$C$11),"")</f>
        <v/>
      </c>
      <c r="C298" s="24" t="n">
        <v>296</v>
      </c>
      <c r="D298" s="25">
        <f>IF(C298&lt;=Parametry!$C$6,L297,0)</f>
        <v/>
      </c>
      <c r="E298" s="26">
        <f>IF(OR(D298&lt;=0,C298&gt;Parametry!$C$6),0,IF(C298&lt;=Parametry!$C$9,Parametry!$C$8,Parametry!$C$10))</f>
        <v/>
      </c>
      <c r="F298" s="25">
        <f>IF(D298&lt;=0,0,D298*E298/12)</f>
        <v/>
      </c>
      <c r="G298" s="25">
        <f>IF(OR(D298&lt;=0,C298&gt;Parametry!$C$6),0,ROUND(-PMT(E298/12,MAX(1,Parametry!$C$6-C298+1),D298),2))</f>
        <v/>
      </c>
      <c r="H298" s="18" t="n"/>
      <c r="I298" s="19">
        <f>IF(OR(L298&lt;=0,C298&gt;=Parametry!$C$6),0,ROUND(-PMT(IF(C298+1&lt;=Parametry!$C$9,Parametry!$C$8,Parametry!$C$10)/12,MAX(1,Parametry!$C$6-C298),L298),2))</f>
        <v/>
      </c>
      <c r="J298" s="27">
        <f>IF(D298&lt;=0,0,MIN(G298+N(H298),D298+F298))</f>
        <v/>
      </c>
      <c r="K298" s="25">
        <f>IF(J298&lt;=0,0,MAX(0,J298-F298))</f>
        <v/>
      </c>
      <c r="L298" s="27">
        <f>IF(D298&lt;=0,0,MAX(0,D298-K298))</f>
        <v/>
      </c>
      <c r="M298" s="28">
        <f>IF(OR(L298&lt;=0,G298&lt;=L298*E298/12),0,MAX(0,ROUNDUP(-LN(1-L298*(E298/12)/G298)/LN(1+E298/12),0)))</f>
        <v/>
      </c>
    </row>
    <row r="299" ht="18" customHeight="1">
      <c r="A299" s="13" t="n">
        <v>297</v>
      </c>
      <c r="B299" s="14">
        <f>IF(C299&lt;=Parametry!$C$6,DATE(Parametry!$C$12+INT((Parametry!$C$13+297-2)/12),MOD(Parametry!$C$13+297-2,12)+1,Parametry!$C$11),"")</f>
        <v/>
      </c>
      <c r="C299" s="15" t="n">
        <v>297</v>
      </c>
      <c r="D299" s="16">
        <f>IF(C299&lt;=Parametry!$C$6,L298,0)</f>
        <v/>
      </c>
      <c r="E299" s="17">
        <f>IF(OR(D299&lt;=0,C299&gt;Parametry!$C$6),0,IF(C299&lt;=Parametry!$C$9,Parametry!$C$8,Parametry!$C$10))</f>
        <v/>
      </c>
      <c r="F299" s="16">
        <f>IF(D299&lt;=0,0,D299*E299/12)</f>
        <v/>
      </c>
      <c r="G299" s="16">
        <f>IF(OR(D299&lt;=0,C299&gt;Parametry!$C$6),0,ROUND(-PMT(E299/12,MAX(1,Parametry!$C$6-C299+1),D299),2))</f>
        <v/>
      </c>
      <c r="H299" s="18" t="n"/>
      <c r="I299" s="19">
        <f>IF(OR(L299&lt;=0,C299&gt;=Parametry!$C$6),0,ROUND(-PMT(IF(C299+1&lt;=Parametry!$C$9,Parametry!$C$8,Parametry!$C$10)/12,MAX(1,Parametry!$C$6-C299),L299),2))</f>
        <v/>
      </c>
      <c r="J299" s="20">
        <f>IF(D299&lt;=0,0,MIN(G299+N(H299),D299+F299))</f>
        <v/>
      </c>
      <c r="K299" s="16">
        <f>IF(J299&lt;=0,0,MAX(0,J299-F299))</f>
        <v/>
      </c>
      <c r="L299" s="20">
        <f>IF(D299&lt;=0,0,MAX(0,D299-K299))</f>
        <v/>
      </c>
      <c r="M299" s="21">
        <f>IF(OR(L299&lt;=0,G299&lt;=L299*E299/12),0,MAX(0,ROUNDUP(-LN(1-L299*(E299/12)/G299)/LN(1+E299/12),0)))</f>
        <v/>
      </c>
    </row>
    <row r="300" ht="18" customHeight="1">
      <c r="A300" s="22" t="n">
        <v>298</v>
      </c>
      <c r="B300" s="23">
        <f>IF(C300&lt;=Parametry!$C$6,DATE(Parametry!$C$12+INT((Parametry!$C$13+298-2)/12),MOD(Parametry!$C$13+298-2,12)+1,Parametry!$C$11),"")</f>
        <v/>
      </c>
      <c r="C300" s="24" t="n">
        <v>298</v>
      </c>
      <c r="D300" s="25">
        <f>IF(C300&lt;=Parametry!$C$6,L299,0)</f>
        <v/>
      </c>
      <c r="E300" s="26">
        <f>IF(OR(D300&lt;=0,C300&gt;Parametry!$C$6),0,IF(C300&lt;=Parametry!$C$9,Parametry!$C$8,Parametry!$C$10))</f>
        <v/>
      </c>
      <c r="F300" s="25">
        <f>IF(D300&lt;=0,0,D300*E300/12)</f>
        <v/>
      </c>
      <c r="G300" s="25">
        <f>IF(OR(D300&lt;=0,C300&gt;Parametry!$C$6),0,ROUND(-PMT(E300/12,MAX(1,Parametry!$C$6-C300+1),D300),2))</f>
        <v/>
      </c>
      <c r="H300" s="18" t="n"/>
      <c r="I300" s="19">
        <f>IF(OR(L300&lt;=0,C300&gt;=Parametry!$C$6),0,ROUND(-PMT(IF(C300+1&lt;=Parametry!$C$9,Parametry!$C$8,Parametry!$C$10)/12,MAX(1,Parametry!$C$6-C300),L300),2))</f>
        <v/>
      </c>
      <c r="J300" s="27">
        <f>IF(D300&lt;=0,0,MIN(G300+N(H300),D300+F300))</f>
        <v/>
      </c>
      <c r="K300" s="25">
        <f>IF(J300&lt;=0,0,MAX(0,J300-F300))</f>
        <v/>
      </c>
      <c r="L300" s="27">
        <f>IF(D300&lt;=0,0,MAX(0,D300-K300))</f>
        <v/>
      </c>
      <c r="M300" s="28">
        <f>IF(OR(L300&lt;=0,G300&lt;=L300*E300/12),0,MAX(0,ROUNDUP(-LN(1-L300*(E300/12)/G300)/LN(1+E300/12),0)))</f>
        <v/>
      </c>
    </row>
    <row r="301" ht="18" customHeight="1">
      <c r="A301" s="13" t="n">
        <v>299</v>
      </c>
      <c r="B301" s="14">
        <f>IF(C301&lt;=Parametry!$C$6,DATE(Parametry!$C$12+INT((Parametry!$C$13+299-2)/12),MOD(Parametry!$C$13+299-2,12)+1,Parametry!$C$11),"")</f>
        <v/>
      </c>
      <c r="C301" s="15" t="n">
        <v>299</v>
      </c>
      <c r="D301" s="16">
        <f>IF(C301&lt;=Parametry!$C$6,L300,0)</f>
        <v/>
      </c>
      <c r="E301" s="17">
        <f>IF(OR(D301&lt;=0,C301&gt;Parametry!$C$6),0,IF(C301&lt;=Parametry!$C$9,Parametry!$C$8,Parametry!$C$10))</f>
        <v/>
      </c>
      <c r="F301" s="16">
        <f>IF(D301&lt;=0,0,D301*E301/12)</f>
        <v/>
      </c>
      <c r="G301" s="16">
        <f>IF(OR(D301&lt;=0,C301&gt;Parametry!$C$6),0,ROUND(-PMT(E301/12,MAX(1,Parametry!$C$6-C301+1),D301),2))</f>
        <v/>
      </c>
      <c r="H301" s="18" t="n"/>
      <c r="I301" s="19">
        <f>IF(OR(L301&lt;=0,C301&gt;=Parametry!$C$6),0,ROUND(-PMT(IF(C301+1&lt;=Parametry!$C$9,Parametry!$C$8,Parametry!$C$10)/12,MAX(1,Parametry!$C$6-C301),L301),2))</f>
        <v/>
      </c>
      <c r="J301" s="20">
        <f>IF(D301&lt;=0,0,MIN(G301+N(H301),D301+F301))</f>
        <v/>
      </c>
      <c r="K301" s="16">
        <f>IF(J301&lt;=0,0,MAX(0,J301-F301))</f>
        <v/>
      </c>
      <c r="L301" s="20">
        <f>IF(D301&lt;=0,0,MAX(0,D301-K301))</f>
        <v/>
      </c>
      <c r="M301" s="21">
        <f>IF(OR(L301&lt;=0,G301&lt;=L301*E301/12),0,MAX(0,ROUNDUP(-LN(1-L301*(E301/12)/G301)/LN(1+E301/12),0)))</f>
        <v/>
      </c>
    </row>
    <row r="302" ht="18" customHeight="1">
      <c r="A302" s="22" t="n">
        <v>300</v>
      </c>
      <c r="B302" s="23">
        <f>IF(C302&lt;=Parametry!$C$6,DATE(Parametry!$C$12+INT((Parametry!$C$13+300-2)/12),MOD(Parametry!$C$13+300-2,12)+1,Parametry!$C$11),"")</f>
        <v/>
      </c>
      <c r="C302" s="24" t="n">
        <v>300</v>
      </c>
      <c r="D302" s="25">
        <f>IF(C302&lt;=Parametry!$C$6,L301,0)</f>
        <v/>
      </c>
      <c r="E302" s="26">
        <f>IF(OR(D302&lt;=0,C302&gt;Parametry!$C$6),0,IF(C302&lt;=Parametry!$C$9,Parametry!$C$8,Parametry!$C$10))</f>
        <v/>
      </c>
      <c r="F302" s="25">
        <f>IF(D302&lt;=0,0,D302*E302/12)</f>
        <v/>
      </c>
      <c r="G302" s="25">
        <f>IF(OR(D302&lt;=0,C302&gt;Parametry!$C$6),0,ROUND(-PMT(E302/12,MAX(1,Parametry!$C$6-C302+1),D302),2))</f>
        <v/>
      </c>
      <c r="H302" s="18" t="n"/>
      <c r="I302" s="19">
        <f>IF(OR(L302&lt;=0,C302&gt;=Parametry!$C$6),0,ROUND(-PMT(IF(C302+1&lt;=Parametry!$C$9,Parametry!$C$8,Parametry!$C$10)/12,MAX(1,Parametry!$C$6-C302),L302),2))</f>
        <v/>
      </c>
      <c r="J302" s="27">
        <f>IF(D302&lt;=0,0,MIN(G302+N(H302),D302+F302))</f>
        <v/>
      </c>
      <c r="K302" s="25">
        <f>IF(J302&lt;=0,0,MAX(0,J302-F302))</f>
        <v/>
      </c>
      <c r="L302" s="27">
        <f>IF(D302&lt;=0,0,MAX(0,D302-K302))</f>
        <v/>
      </c>
      <c r="M302" s="28">
        <f>IF(OR(L302&lt;=0,G302&lt;=L302*E302/12),0,MAX(0,ROUNDUP(-LN(1-L302*(E302/12)/G302)/LN(1+E302/12),0)))</f>
        <v/>
      </c>
    </row>
    <row r="303" ht="18" customHeight="1">
      <c r="A303" s="13" t="n">
        <v>301</v>
      </c>
      <c r="B303" s="14">
        <f>IF(C303&lt;=Parametry!$C$6,DATE(Parametry!$C$12+INT((Parametry!$C$13+301-2)/12),MOD(Parametry!$C$13+301-2,12)+1,Parametry!$C$11),"")</f>
        <v/>
      </c>
      <c r="C303" s="15" t="n">
        <v>301</v>
      </c>
      <c r="D303" s="16">
        <f>IF(C303&lt;=Parametry!$C$6,L302,0)</f>
        <v/>
      </c>
      <c r="E303" s="17">
        <f>IF(OR(D303&lt;=0,C303&gt;Parametry!$C$6),0,IF(C303&lt;=Parametry!$C$9,Parametry!$C$8,Parametry!$C$10))</f>
        <v/>
      </c>
      <c r="F303" s="16">
        <f>IF(D303&lt;=0,0,D303*E303/12)</f>
        <v/>
      </c>
      <c r="G303" s="16">
        <f>IF(OR(D303&lt;=0,C303&gt;Parametry!$C$6),0,ROUND(-PMT(E303/12,MAX(1,Parametry!$C$6-C303+1),D303),2))</f>
        <v/>
      </c>
      <c r="H303" s="18" t="n"/>
      <c r="I303" s="19">
        <f>IF(OR(L303&lt;=0,C303&gt;=Parametry!$C$6),0,ROUND(-PMT(IF(C303+1&lt;=Parametry!$C$9,Parametry!$C$8,Parametry!$C$10)/12,MAX(1,Parametry!$C$6-C303),L303),2))</f>
        <v/>
      </c>
      <c r="J303" s="20">
        <f>IF(D303&lt;=0,0,MIN(G303+N(H303),D303+F303))</f>
        <v/>
      </c>
      <c r="K303" s="16">
        <f>IF(J303&lt;=0,0,MAX(0,J303-F303))</f>
        <v/>
      </c>
      <c r="L303" s="20">
        <f>IF(D303&lt;=0,0,MAX(0,D303-K303))</f>
        <v/>
      </c>
      <c r="M303" s="21">
        <f>IF(OR(L303&lt;=0,G303&lt;=L303*E303/12),0,MAX(0,ROUNDUP(-LN(1-L303*(E303/12)/G303)/LN(1+E303/12),0)))</f>
        <v/>
      </c>
    </row>
    <row r="304" ht="18" customHeight="1">
      <c r="A304" s="22" t="n">
        <v>302</v>
      </c>
      <c r="B304" s="23">
        <f>IF(C304&lt;=Parametry!$C$6,DATE(Parametry!$C$12+INT((Parametry!$C$13+302-2)/12),MOD(Parametry!$C$13+302-2,12)+1,Parametry!$C$11),"")</f>
        <v/>
      </c>
      <c r="C304" s="24" t="n">
        <v>302</v>
      </c>
      <c r="D304" s="25">
        <f>IF(C304&lt;=Parametry!$C$6,L303,0)</f>
        <v/>
      </c>
      <c r="E304" s="26">
        <f>IF(OR(D304&lt;=0,C304&gt;Parametry!$C$6),0,IF(C304&lt;=Parametry!$C$9,Parametry!$C$8,Parametry!$C$10))</f>
        <v/>
      </c>
      <c r="F304" s="25">
        <f>IF(D304&lt;=0,0,D304*E304/12)</f>
        <v/>
      </c>
      <c r="G304" s="25">
        <f>IF(OR(D304&lt;=0,C304&gt;Parametry!$C$6),0,ROUND(-PMT(E304/12,MAX(1,Parametry!$C$6-C304+1),D304),2))</f>
        <v/>
      </c>
      <c r="H304" s="18" t="n"/>
      <c r="I304" s="19">
        <f>IF(OR(L304&lt;=0,C304&gt;=Parametry!$C$6),0,ROUND(-PMT(IF(C304+1&lt;=Parametry!$C$9,Parametry!$C$8,Parametry!$C$10)/12,MAX(1,Parametry!$C$6-C304),L304),2))</f>
        <v/>
      </c>
      <c r="J304" s="27">
        <f>IF(D304&lt;=0,0,MIN(G304+N(H304),D304+F304))</f>
        <v/>
      </c>
      <c r="K304" s="25">
        <f>IF(J304&lt;=0,0,MAX(0,J304-F304))</f>
        <v/>
      </c>
      <c r="L304" s="27">
        <f>IF(D304&lt;=0,0,MAX(0,D304-K304))</f>
        <v/>
      </c>
      <c r="M304" s="28">
        <f>IF(OR(L304&lt;=0,G304&lt;=L304*E304/12),0,MAX(0,ROUNDUP(-LN(1-L304*(E304/12)/G304)/LN(1+E304/12),0)))</f>
        <v/>
      </c>
    </row>
    <row r="305" ht="18" customHeight="1">
      <c r="A305" s="13" t="n">
        <v>303</v>
      </c>
      <c r="B305" s="14">
        <f>IF(C305&lt;=Parametry!$C$6,DATE(Parametry!$C$12+INT((Parametry!$C$13+303-2)/12),MOD(Parametry!$C$13+303-2,12)+1,Parametry!$C$11),"")</f>
        <v/>
      </c>
      <c r="C305" s="15" t="n">
        <v>303</v>
      </c>
      <c r="D305" s="16">
        <f>IF(C305&lt;=Parametry!$C$6,L304,0)</f>
        <v/>
      </c>
      <c r="E305" s="17">
        <f>IF(OR(D305&lt;=0,C305&gt;Parametry!$C$6),0,IF(C305&lt;=Parametry!$C$9,Parametry!$C$8,Parametry!$C$10))</f>
        <v/>
      </c>
      <c r="F305" s="16">
        <f>IF(D305&lt;=0,0,D305*E305/12)</f>
        <v/>
      </c>
      <c r="G305" s="16">
        <f>IF(OR(D305&lt;=0,C305&gt;Parametry!$C$6),0,ROUND(-PMT(E305/12,MAX(1,Parametry!$C$6-C305+1),D305),2))</f>
        <v/>
      </c>
      <c r="H305" s="18" t="n"/>
      <c r="I305" s="19">
        <f>IF(OR(L305&lt;=0,C305&gt;=Parametry!$C$6),0,ROUND(-PMT(IF(C305+1&lt;=Parametry!$C$9,Parametry!$C$8,Parametry!$C$10)/12,MAX(1,Parametry!$C$6-C305),L305),2))</f>
        <v/>
      </c>
      <c r="J305" s="20">
        <f>IF(D305&lt;=0,0,MIN(G305+N(H305),D305+F305))</f>
        <v/>
      </c>
      <c r="K305" s="16">
        <f>IF(J305&lt;=0,0,MAX(0,J305-F305))</f>
        <v/>
      </c>
      <c r="L305" s="20">
        <f>IF(D305&lt;=0,0,MAX(0,D305-K305))</f>
        <v/>
      </c>
      <c r="M305" s="21">
        <f>IF(OR(L305&lt;=0,G305&lt;=L305*E305/12),0,MAX(0,ROUNDUP(-LN(1-L305*(E305/12)/G305)/LN(1+E305/12),0)))</f>
        <v/>
      </c>
    </row>
    <row r="306" ht="18" customHeight="1">
      <c r="A306" s="22" t="n">
        <v>304</v>
      </c>
      <c r="B306" s="23">
        <f>IF(C306&lt;=Parametry!$C$6,DATE(Parametry!$C$12+INT((Parametry!$C$13+304-2)/12),MOD(Parametry!$C$13+304-2,12)+1,Parametry!$C$11),"")</f>
        <v/>
      </c>
      <c r="C306" s="24" t="n">
        <v>304</v>
      </c>
      <c r="D306" s="25">
        <f>IF(C306&lt;=Parametry!$C$6,L305,0)</f>
        <v/>
      </c>
      <c r="E306" s="26">
        <f>IF(OR(D306&lt;=0,C306&gt;Parametry!$C$6),0,IF(C306&lt;=Parametry!$C$9,Parametry!$C$8,Parametry!$C$10))</f>
        <v/>
      </c>
      <c r="F306" s="25">
        <f>IF(D306&lt;=0,0,D306*E306/12)</f>
        <v/>
      </c>
      <c r="G306" s="25">
        <f>IF(OR(D306&lt;=0,C306&gt;Parametry!$C$6),0,ROUND(-PMT(E306/12,MAX(1,Parametry!$C$6-C306+1),D306),2))</f>
        <v/>
      </c>
      <c r="H306" s="18" t="n"/>
      <c r="I306" s="19">
        <f>IF(OR(L306&lt;=0,C306&gt;=Parametry!$C$6),0,ROUND(-PMT(IF(C306+1&lt;=Parametry!$C$9,Parametry!$C$8,Parametry!$C$10)/12,MAX(1,Parametry!$C$6-C306),L306),2))</f>
        <v/>
      </c>
      <c r="J306" s="27">
        <f>IF(D306&lt;=0,0,MIN(G306+N(H306),D306+F306))</f>
        <v/>
      </c>
      <c r="K306" s="25">
        <f>IF(J306&lt;=0,0,MAX(0,J306-F306))</f>
        <v/>
      </c>
      <c r="L306" s="27">
        <f>IF(D306&lt;=0,0,MAX(0,D306-K306))</f>
        <v/>
      </c>
      <c r="M306" s="28">
        <f>IF(OR(L306&lt;=0,G306&lt;=L306*E306/12),0,MAX(0,ROUNDUP(-LN(1-L306*(E306/12)/G306)/LN(1+E306/12),0)))</f>
        <v/>
      </c>
    </row>
    <row r="307" ht="18" customHeight="1">
      <c r="A307" s="13" t="n">
        <v>305</v>
      </c>
      <c r="B307" s="14">
        <f>IF(C307&lt;=Parametry!$C$6,DATE(Parametry!$C$12+INT((Parametry!$C$13+305-2)/12),MOD(Parametry!$C$13+305-2,12)+1,Parametry!$C$11),"")</f>
        <v/>
      </c>
      <c r="C307" s="15" t="n">
        <v>305</v>
      </c>
      <c r="D307" s="16">
        <f>IF(C307&lt;=Parametry!$C$6,L306,0)</f>
        <v/>
      </c>
      <c r="E307" s="17">
        <f>IF(OR(D307&lt;=0,C307&gt;Parametry!$C$6),0,IF(C307&lt;=Parametry!$C$9,Parametry!$C$8,Parametry!$C$10))</f>
        <v/>
      </c>
      <c r="F307" s="16">
        <f>IF(D307&lt;=0,0,D307*E307/12)</f>
        <v/>
      </c>
      <c r="G307" s="16">
        <f>IF(OR(D307&lt;=0,C307&gt;Parametry!$C$6),0,ROUND(-PMT(E307/12,MAX(1,Parametry!$C$6-C307+1),D307),2))</f>
        <v/>
      </c>
      <c r="H307" s="18" t="n"/>
      <c r="I307" s="19">
        <f>IF(OR(L307&lt;=0,C307&gt;=Parametry!$C$6),0,ROUND(-PMT(IF(C307+1&lt;=Parametry!$C$9,Parametry!$C$8,Parametry!$C$10)/12,MAX(1,Parametry!$C$6-C307),L307),2))</f>
        <v/>
      </c>
      <c r="J307" s="20">
        <f>IF(D307&lt;=0,0,MIN(G307+N(H307),D307+F307))</f>
        <v/>
      </c>
      <c r="K307" s="16">
        <f>IF(J307&lt;=0,0,MAX(0,J307-F307))</f>
        <v/>
      </c>
      <c r="L307" s="20">
        <f>IF(D307&lt;=0,0,MAX(0,D307-K307))</f>
        <v/>
      </c>
      <c r="M307" s="21">
        <f>IF(OR(L307&lt;=0,G307&lt;=L307*E307/12),0,MAX(0,ROUNDUP(-LN(1-L307*(E307/12)/G307)/LN(1+E307/12),0)))</f>
        <v/>
      </c>
    </row>
    <row r="308" ht="18" customHeight="1">
      <c r="A308" s="22" t="n">
        <v>306</v>
      </c>
      <c r="B308" s="23">
        <f>IF(C308&lt;=Parametry!$C$6,DATE(Parametry!$C$12+INT((Parametry!$C$13+306-2)/12),MOD(Parametry!$C$13+306-2,12)+1,Parametry!$C$11),"")</f>
        <v/>
      </c>
      <c r="C308" s="24" t="n">
        <v>306</v>
      </c>
      <c r="D308" s="25">
        <f>IF(C308&lt;=Parametry!$C$6,L307,0)</f>
        <v/>
      </c>
      <c r="E308" s="26">
        <f>IF(OR(D308&lt;=0,C308&gt;Parametry!$C$6),0,IF(C308&lt;=Parametry!$C$9,Parametry!$C$8,Parametry!$C$10))</f>
        <v/>
      </c>
      <c r="F308" s="25">
        <f>IF(D308&lt;=0,0,D308*E308/12)</f>
        <v/>
      </c>
      <c r="G308" s="25">
        <f>IF(OR(D308&lt;=0,C308&gt;Parametry!$C$6),0,ROUND(-PMT(E308/12,MAX(1,Parametry!$C$6-C308+1),D308),2))</f>
        <v/>
      </c>
      <c r="H308" s="18" t="n"/>
      <c r="I308" s="19">
        <f>IF(OR(L308&lt;=0,C308&gt;=Parametry!$C$6),0,ROUND(-PMT(IF(C308+1&lt;=Parametry!$C$9,Parametry!$C$8,Parametry!$C$10)/12,MAX(1,Parametry!$C$6-C308),L308),2))</f>
        <v/>
      </c>
      <c r="J308" s="27">
        <f>IF(D308&lt;=0,0,MIN(G308+N(H308),D308+F308))</f>
        <v/>
      </c>
      <c r="K308" s="25">
        <f>IF(J308&lt;=0,0,MAX(0,J308-F308))</f>
        <v/>
      </c>
      <c r="L308" s="27">
        <f>IF(D308&lt;=0,0,MAX(0,D308-K308))</f>
        <v/>
      </c>
      <c r="M308" s="28">
        <f>IF(OR(L308&lt;=0,G308&lt;=L308*E308/12),0,MAX(0,ROUNDUP(-LN(1-L308*(E308/12)/G308)/LN(1+E308/12),0)))</f>
        <v/>
      </c>
    </row>
    <row r="309" ht="18" customHeight="1">
      <c r="A309" s="13" t="n">
        <v>307</v>
      </c>
      <c r="B309" s="14">
        <f>IF(C309&lt;=Parametry!$C$6,DATE(Parametry!$C$12+INT((Parametry!$C$13+307-2)/12),MOD(Parametry!$C$13+307-2,12)+1,Parametry!$C$11),"")</f>
        <v/>
      </c>
      <c r="C309" s="15" t="n">
        <v>307</v>
      </c>
      <c r="D309" s="16">
        <f>IF(C309&lt;=Parametry!$C$6,L308,0)</f>
        <v/>
      </c>
      <c r="E309" s="17">
        <f>IF(OR(D309&lt;=0,C309&gt;Parametry!$C$6),0,IF(C309&lt;=Parametry!$C$9,Parametry!$C$8,Parametry!$C$10))</f>
        <v/>
      </c>
      <c r="F309" s="16">
        <f>IF(D309&lt;=0,0,D309*E309/12)</f>
        <v/>
      </c>
      <c r="G309" s="16">
        <f>IF(OR(D309&lt;=0,C309&gt;Parametry!$C$6),0,ROUND(-PMT(E309/12,MAX(1,Parametry!$C$6-C309+1),D309),2))</f>
        <v/>
      </c>
      <c r="H309" s="18" t="n"/>
      <c r="I309" s="19">
        <f>IF(OR(L309&lt;=0,C309&gt;=Parametry!$C$6),0,ROUND(-PMT(IF(C309+1&lt;=Parametry!$C$9,Parametry!$C$8,Parametry!$C$10)/12,MAX(1,Parametry!$C$6-C309),L309),2))</f>
        <v/>
      </c>
      <c r="J309" s="20">
        <f>IF(D309&lt;=0,0,MIN(G309+N(H309),D309+F309))</f>
        <v/>
      </c>
      <c r="K309" s="16">
        <f>IF(J309&lt;=0,0,MAX(0,J309-F309))</f>
        <v/>
      </c>
      <c r="L309" s="20">
        <f>IF(D309&lt;=0,0,MAX(0,D309-K309))</f>
        <v/>
      </c>
      <c r="M309" s="21">
        <f>IF(OR(L309&lt;=0,G309&lt;=L309*E309/12),0,MAX(0,ROUNDUP(-LN(1-L309*(E309/12)/G309)/LN(1+E309/12),0)))</f>
        <v/>
      </c>
    </row>
    <row r="310" ht="18" customHeight="1">
      <c r="A310" s="22" t="n">
        <v>308</v>
      </c>
      <c r="B310" s="23">
        <f>IF(C310&lt;=Parametry!$C$6,DATE(Parametry!$C$12+INT((Parametry!$C$13+308-2)/12),MOD(Parametry!$C$13+308-2,12)+1,Parametry!$C$11),"")</f>
        <v/>
      </c>
      <c r="C310" s="24" t="n">
        <v>308</v>
      </c>
      <c r="D310" s="25">
        <f>IF(C310&lt;=Parametry!$C$6,L309,0)</f>
        <v/>
      </c>
      <c r="E310" s="26">
        <f>IF(OR(D310&lt;=0,C310&gt;Parametry!$C$6),0,IF(C310&lt;=Parametry!$C$9,Parametry!$C$8,Parametry!$C$10))</f>
        <v/>
      </c>
      <c r="F310" s="25">
        <f>IF(D310&lt;=0,0,D310*E310/12)</f>
        <v/>
      </c>
      <c r="G310" s="25">
        <f>IF(OR(D310&lt;=0,C310&gt;Parametry!$C$6),0,ROUND(-PMT(E310/12,MAX(1,Parametry!$C$6-C310+1),D310),2))</f>
        <v/>
      </c>
      <c r="H310" s="18" t="n"/>
      <c r="I310" s="19">
        <f>IF(OR(L310&lt;=0,C310&gt;=Parametry!$C$6),0,ROUND(-PMT(IF(C310+1&lt;=Parametry!$C$9,Parametry!$C$8,Parametry!$C$10)/12,MAX(1,Parametry!$C$6-C310),L310),2))</f>
        <v/>
      </c>
      <c r="J310" s="27">
        <f>IF(D310&lt;=0,0,MIN(G310+N(H310),D310+F310))</f>
        <v/>
      </c>
      <c r="K310" s="25">
        <f>IF(J310&lt;=0,0,MAX(0,J310-F310))</f>
        <v/>
      </c>
      <c r="L310" s="27">
        <f>IF(D310&lt;=0,0,MAX(0,D310-K310))</f>
        <v/>
      </c>
      <c r="M310" s="28">
        <f>IF(OR(L310&lt;=0,G310&lt;=L310*E310/12),0,MAX(0,ROUNDUP(-LN(1-L310*(E310/12)/G310)/LN(1+E310/12),0)))</f>
        <v/>
      </c>
    </row>
    <row r="311" ht="18" customHeight="1">
      <c r="A311" s="13" t="n">
        <v>309</v>
      </c>
      <c r="B311" s="14">
        <f>IF(C311&lt;=Parametry!$C$6,DATE(Parametry!$C$12+INT((Parametry!$C$13+309-2)/12),MOD(Parametry!$C$13+309-2,12)+1,Parametry!$C$11),"")</f>
        <v/>
      </c>
      <c r="C311" s="15" t="n">
        <v>309</v>
      </c>
      <c r="D311" s="16">
        <f>IF(C311&lt;=Parametry!$C$6,L310,0)</f>
        <v/>
      </c>
      <c r="E311" s="17">
        <f>IF(OR(D311&lt;=0,C311&gt;Parametry!$C$6),0,IF(C311&lt;=Parametry!$C$9,Parametry!$C$8,Parametry!$C$10))</f>
        <v/>
      </c>
      <c r="F311" s="16">
        <f>IF(D311&lt;=0,0,D311*E311/12)</f>
        <v/>
      </c>
      <c r="G311" s="16">
        <f>IF(OR(D311&lt;=0,C311&gt;Parametry!$C$6),0,ROUND(-PMT(E311/12,MAX(1,Parametry!$C$6-C311+1),D311),2))</f>
        <v/>
      </c>
      <c r="H311" s="18" t="n"/>
      <c r="I311" s="19">
        <f>IF(OR(L311&lt;=0,C311&gt;=Parametry!$C$6),0,ROUND(-PMT(IF(C311+1&lt;=Parametry!$C$9,Parametry!$C$8,Parametry!$C$10)/12,MAX(1,Parametry!$C$6-C311),L311),2))</f>
        <v/>
      </c>
      <c r="J311" s="20">
        <f>IF(D311&lt;=0,0,MIN(G311+N(H311),D311+F311))</f>
        <v/>
      </c>
      <c r="K311" s="16">
        <f>IF(J311&lt;=0,0,MAX(0,J311-F311))</f>
        <v/>
      </c>
      <c r="L311" s="20">
        <f>IF(D311&lt;=0,0,MAX(0,D311-K311))</f>
        <v/>
      </c>
      <c r="M311" s="21">
        <f>IF(OR(L311&lt;=0,G311&lt;=L311*E311/12),0,MAX(0,ROUNDUP(-LN(1-L311*(E311/12)/G311)/LN(1+E311/12),0)))</f>
        <v/>
      </c>
    </row>
    <row r="312" ht="18" customHeight="1">
      <c r="A312" s="22" t="n">
        <v>310</v>
      </c>
      <c r="B312" s="23">
        <f>IF(C312&lt;=Parametry!$C$6,DATE(Parametry!$C$12+INT((Parametry!$C$13+310-2)/12),MOD(Parametry!$C$13+310-2,12)+1,Parametry!$C$11),"")</f>
        <v/>
      </c>
      <c r="C312" s="24" t="n">
        <v>310</v>
      </c>
      <c r="D312" s="25">
        <f>IF(C312&lt;=Parametry!$C$6,L311,0)</f>
        <v/>
      </c>
      <c r="E312" s="26">
        <f>IF(OR(D312&lt;=0,C312&gt;Parametry!$C$6),0,IF(C312&lt;=Parametry!$C$9,Parametry!$C$8,Parametry!$C$10))</f>
        <v/>
      </c>
      <c r="F312" s="25">
        <f>IF(D312&lt;=0,0,D312*E312/12)</f>
        <v/>
      </c>
      <c r="G312" s="25">
        <f>IF(OR(D312&lt;=0,C312&gt;Parametry!$C$6),0,ROUND(-PMT(E312/12,MAX(1,Parametry!$C$6-C312+1),D312),2))</f>
        <v/>
      </c>
      <c r="H312" s="18" t="n"/>
      <c r="I312" s="19">
        <f>IF(OR(L312&lt;=0,C312&gt;=Parametry!$C$6),0,ROUND(-PMT(IF(C312+1&lt;=Parametry!$C$9,Parametry!$C$8,Parametry!$C$10)/12,MAX(1,Parametry!$C$6-C312),L312),2))</f>
        <v/>
      </c>
      <c r="J312" s="27">
        <f>IF(D312&lt;=0,0,MIN(G312+N(H312),D312+F312))</f>
        <v/>
      </c>
      <c r="K312" s="25">
        <f>IF(J312&lt;=0,0,MAX(0,J312-F312))</f>
        <v/>
      </c>
      <c r="L312" s="27">
        <f>IF(D312&lt;=0,0,MAX(0,D312-K312))</f>
        <v/>
      </c>
      <c r="M312" s="28">
        <f>IF(OR(L312&lt;=0,G312&lt;=L312*E312/12),0,MAX(0,ROUNDUP(-LN(1-L312*(E312/12)/G312)/LN(1+E312/12),0)))</f>
        <v/>
      </c>
    </row>
    <row r="313" ht="18" customHeight="1">
      <c r="A313" s="13" t="n">
        <v>311</v>
      </c>
      <c r="B313" s="14">
        <f>IF(C313&lt;=Parametry!$C$6,DATE(Parametry!$C$12+INT((Parametry!$C$13+311-2)/12),MOD(Parametry!$C$13+311-2,12)+1,Parametry!$C$11),"")</f>
        <v/>
      </c>
      <c r="C313" s="15" t="n">
        <v>311</v>
      </c>
      <c r="D313" s="16">
        <f>IF(C313&lt;=Parametry!$C$6,L312,0)</f>
        <v/>
      </c>
      <c r="E313" s="17">
        <f>IF(OR(D313&lt;=0,C313&gt;Parametry!$C$6),0,IF(C313&lt;=Parametry!$C$9,Parametry!$C$8,Parametry!$C$10))</f>
        <v/>
      </c>
      <c r="F313" s="16">
        <f>IF(D313&lt;=0,0,D313*E313/12)</f>
        <v/>
      </c>
      <c r="G313" s="16">
        <f>IF(OR(D313&lt;=0,C313&gt;Parametry!$C$6),0,ROUND(-PMT(E313/12,MAX(1,Parametry!$C$6-C313+1),D313),2))</f>
        <v/>
      </c>
      <c r="H313" s="18" t="n"/>
      <c r="I313" s="19">
        <f>IF(OR(L313&lt;=0,C313&gt;=Parametry!$C$6),0,ROUND(-PMT(IF(C313+1&lt;=Parametry!$C$9,Parametry!$C$8,Parametry!$C$10)/12,MAX(1,Parametry!$C$6-C313),L313),2))</f>
        <v/>
      </c>
      <c r="J313" s="20">
        <f>IF(D313&lt;=0,0,MIN(G313+N(H313),D313+F313))</f>
        <v/>
      </c>
      <c r="K313" s="16">
        <f>IF(J313&lt;=0,0,MAX(0,J313-F313))</f>
        <v/>
      </c>
      <c r="L313" s="20">
        <f>IF(D313&lt;=0,0,MAX(0,D313-K313))</f>
        <v/>
      </c>
      <c r="M313" s="21">
        <f>IF(OR(L313&lt;=0,G313&lt;=L313*E313/12),0,MAX(0,ROUNDUP(-LN(1-L313*(E313/12)/G313)/LN(1+E313/12),0)))</f>
        <v/>
      </c>
    </row>
    <row r="314" ht="18" customHeight="1">
      <c r="A314" s="22" t="n">
        <v>312</v>
      </c>
      <c r="B314" s="23">
        <f>IF(C314&lt;=Parametry!$C$6,DATE(Parametry!$C$12+INT((Parametry!$C$13+312-2)/12),MOD(Parametry!$C$13+312-2,12)+1,Parametry!$C$11),"")</f>
        <v/>
      </c>
      <c r="C314" s="24" t="n">
        <v>312</v>
      </c>
      <c r="D314" s="25">
        <f>IF(C314&lt;=Parametry!$C$6,L313,0)</f>
        <v/>
      </c>
      <c r="E314" s="26">
        <f>IF(OR(D314&lt;=0,C314&gt;Parametry!$C$6),0,IF(C314&lt;=Parametry!$C$9,Parametry!$C$8,Parametry!$C$10))</f>
        <v/>
      </c>
      <c r="F314" s="25">
        <f>IF(D314&lt;=0,0,D314*E314/12)</f>
        <v/>
      </c>
      <c r="G314" s="25">
        <f>IF(OR(D314&lt;=0,C314&gt;Parametry!$C$6),0,ROUND(-PMT(E314/12,MAX(1,Parametry!$C$6-C314+1),D314),2))</f>
        <v/>
      </c>
      <c r="H314" s="18" t="n"/>
      <c r="I314" s="19">
        <f>IF(OR(L314&lt;=0,C314&gt;=Parametry!$C$6),0,ROUND(-PMT(IF(C314+1&lt;=Parametry!$C$9,Parametry!$C$8,Parametry!$C$10)/12,MAX(1,Parametry!$C$6-C314),L314),2))</f>
        <v/>
      </c>
      <c r="J314" s="27">
        <f>IF(D314&lt;=0,0,MIN(G314+N(H314),D314+F314))</f>
        <v/>
      </c>
      <c r="K314" s="25">
        <f>IF(J314&lt;=0,0,MAX(0,J314-F314))</f>
        <v/>
      </c>
      <c r="L314" s="27">
        <f>IF(D314&lt;=0,0,MAX(0,D314-K314))</f>
        <v/>
      </c>
      <c r="M314" s="28">
        <f>IF(OR(L314&lt;=0,G314&lt;=L314*E314/12),0,MAX(0,ROUNDUP(-LN(1-L314*(E314/12)/G314)/LN(1+E314/12),0)))</f>
        <v/>
      </c>
    </row>
    <row r="315" ht="18" customHeight="1">
      <c r="A315" s="13" t="n">
        <v>313</v>
      </c>
      <c r="B315" s="14">
        <f>IF(C315&lt;=Parametry!$C$6,DATE(Parametry!$C$12+INT((Parametry!$C$13+313-2)/12),MOD(Parametry!$C$13+313-2,12)+1,Parametry!$C$11),"")</f>
        <v/>
      </c>
      <c r="C315" s="15" t="n">
        <v>313</v>
      </c>
      <c r="D315" s="16">
        <f>IF(C315&lt;=Parametry!$C$6,L314,0)</f>
        <v/>
      </c>
      <c r="E315" s="17">
        <f>IF(OR(D315&lt;=0,C315&gt;Parametry!$C$6),0,IF(C315&lt;=Parametry!$C$9,Parametry!$C$8,Parametry!$C$10))</f>
        <v/>
      </c>
      <c r="F315" s="16">
        <f>IF(D315&lt;=0,0,D315*E315/12)</f>
        <v/>
      </c>
      <c r="G315" s="16">
        <f>IF(OR(D315&lt;=0,C315&gt;Parametry!$C$6),0,ROUND(-PMT(E315/12,MAX(1,Parametry!$C$6-C315+1),D315),2))</f>
        <v/>
      </c>
      <c r="H315" s="18" t="n"/>
      <c r="I315" s="19">
        <f>IF(OR(L315&lt;=0,C315&gt;=Parametry!$C$6),0,ROUND(-PMT(IF(C315+1&lt;=Parametry!$C$9,Parametry!$C$8,Parametry!$C$10)/12,MAX(1,Parametry!$C$6-C315),L315),2))</f>
        <v/>
      </c>
      <c r="J315" s="20">
        <f>IF(D315&lt;=0,0,MIN(G315+N(H315),D315+F315))</f>
        <v/>
      </c>
      <c r="K315" s="16">
        <f>IF(J315&lt;=0,0,MAX(0,J315-F315))</f>
        <v/>
      </c>
      <c r="L315" s="20">
        <f>IF(D315&lt;=0,0,MAX(0,D315-K315))</f>
        <v/>
      </c>
      <c r="M315" s="21">
        <f>IF(OR(L315&lt;=0,G315&lt;=L315*E315/12),0,MAX(0,ROUNDUP(-LN(1-L315*(E315/12)/G315)/LN(1+E315/12),0)))</f>
        <v/>
      </c>
    </row>
    <row r="316" ht="18" customHeight="1">
      <c r="A316" s="22" t="n">
        <v>314</v>
      </c>
      <c r="B316" s="23">
        <f>IF(C316&lt;=Parametry!$C$6,DATE(Parametry!$C$12+INT((Parametry!$C$13+314-2)/12),MOD(Parametry!$C$13+314-2,12)+1,Parametry!$C$11),"")</f>
        <v/>
      </c>
      <c r="C316" s="24" t="n">
        <v>314</v>
      </c>
      <c r="D316" s="25">
        <f>IF(C316&lt;=Parametry!$C$6,L315,0)</f>
        <v/>
      </c>
      <c r="E316" s="26">
        <f>IF(OR(D316&lt;=0,C316&gt;Parametry!$C$6),0,IF(C316&lt;=Parametry!$C$9,Parametry!$C$8,Parametry!$C$10))</f>
        <v/>
      </c>
      <c r="F316" s="25">
        <f>IF(D316&lt;=0,0,D316*E316/12)</f>
        <v/>
      </c>
      <c r="G316" s="25">
        <f>IF(OR(D316&lt;=0,C316&gt;Parametry!$C$6),0,ROUND(-PMT(E316/12,MAX(1,Parametry!$C$6-C316+1),D316),2))</f>
        <v/>
      </c>
      <c r="H316" s="18" t="n"/>
      <c r="I316" s="19">
        <f>IF(OR(L316&lt;=0,C316&gt;=Parametry!$C$6),0,ROUND(-PMT(IF(C316+1&lt;=Parametry!$C$9,Parametry!$C$8,Parametry!$C$10)/12,MAX(1,Parametry!$C$6-C316),L316),2))</f>
        <v/>
      </c>
      <c r="J316" s="27">
        <f>IF(D316&lt;=0,0,MIN(G316+N(H316),D316+F316))</f>
        <v/>
      </c>
      <c r="K316" s="25">
        <f>IF(J316&lt;=0,0,MAX(0,J316-F316))</f>
        <v/>
      </c>
      <c r="L316" s="27">
        <f>IF(D316&lt;=0,0,MAX(0,D316-K316))</f>
        <v/>
      </c>
      <c r="M316" s="28">
        <f>IF(OR(L316&lt;=0,G316&lt;=L316*E316/12),0,MAX(0,ROUNDUP(-LN(1-L316*(E316/12)/G316)/LN(1+E316/12),0)))</f>
        <v/>
      </c>
    </row>
    <row r="317" ht="18" customHeight="1">
      <c r="A317" s="13" t="n">
        <v>315</v>
      </c>
      <c r="B317" s="14">
        <f>IF(C317&lt;=Parametry!$C$6,DATE(Parametry!$C$12+INT((Parametry!$C$13+315-2)/12),MOD(Parametry!$C$13+315-2,12)+1,Parametry!$C$11),"")</f>
        <v/>
      </c>
      <c r="C317" s="15" t="n">
        <v>315</v>
      </c>
      <c r="D317" s="16">
        <f>IF(C317&lt;=Parametry!$C$6,L316,0)</f>
        <v/>
      </c>
      <c r="E317" s="17">
        <f>IF(OR(D317&lt;=0,C317&gt;Parametry!$C$6),0,IF(C317&lt;=Parametry!$C$9,Parametry!$C$8,Parametry!$C$10))</f>
        <v/>
      </c>
      <c r="F317" s="16">
        <f>IF(D317&lt;=0,0,D317*E317/12)</f>
        <v/>
      </c>
      <c r="G317" s="16">
        <f>IF(OR(D317&lt;=0,C317&gt;Parametry!$C$6),0,ROUND(-PMT(E317/12,MAX(1,Parametry!$C$6-C317+1),D317),2))</f>
        <v/>
      </c>
      <c r="H317" s="18" t="n"/>
      <c r="I317" s="19">
        <f>IF(OR(L317&lt;=0,C317&gt;=Parametry!$C$6),0,ROUND(-PMT(IF(C317+1&lt;=Parametry!$C$9,Parametry!$C$8,Parametry!$C$10)/12,MAX(1,Parametry!$C$6-C317),L317),2))</f>
        <v/>
      </c>
      <c r="J317" s="20">
        <f>IF(D317&lt;=0,0,MIN(G317+N(H317),D317+F317))</f>
        <v/>
      </c>
      <c r="K317" s="16">
        <f>IF(J317&lt;=0,0,MAX(0,J317-F317))</f>
        <v/>
      </c>
      <c r="L317" s="20">
        <f>IF(D317&lt;=0,0,MAX(0,D317-K317))</f>
        <v/>
      </c>
      <c r="M317" s="21">
        <f>IF(OR(L317&lt;=0,G317&lt;=L317*E317/12),0,MAX(0,ROUNDUP(-LN(1-L317*(E317/12)/G317)/LN(1+E317/12),0)))</f>
        <v/>
      </c>
    </row>
    <row r="318" ht="18" customHeight="1">
      <c r="A318" s="22" t="n">
        <v>316</v>
      </c>
      <c r="B318" s="23">
        <f>IF(C318&lt;=Parametry!$C$6,DATE(Parametry!$C$12+INT((Parametry!$C$13+316-2)/12),MOD(Parametry!$C$13+316-2,12)+1,Parametry!$C$11),"")</f>
        <v/>
      </c>
      <c r="C318" s="24" t="n">
        <v>316</v>
      </c>
      <c r="D318" s="25">
        <f>IF(C318&lt;=Parametry!$C$6,L317,0)</f>
        <v/>
      </c>
      <c r="E318" s="26">
        <f>IF(OR(D318&lt;=0,C318&gt;Parametry!$C$6),0,IF(C318&lt;=Parametry!$C$9,Parametry!$C$8,Parametry!$C$10))</f>
        <v/>
      </c>
      <c r="F318" s="25">
        <f>IF(D318&lt;=0,0,D318*E318/12)</f>
        <v/>
      </c>
      <c r="G318" s="25">
        <f>IF(OR(D318&lt;=0,C318&gt;Parametry!$C$6),0,ROUND(-PMT(E318/12,MAX(1,Parametry!$C$6-C318+1),D318),2))</f>
        <v/>
      </c>
      <c r="H318" s="18" t="n"/>
      <c r="I318" s="19">
        <f>IF(OR(L318&lt;=0,C318&gt;=Parametry!$C$6),0,ROUND(-PMT(IF(C318+1&lt;=Parametry!$C$9,Parametry!$C$8,Parametry!$C$10)/12,MAX(1,Parametry!$C$6-C318),L318),2))</f>
        <v/>
      </c>
      <c r="J318" s="27">
        <f>IF(D318&lt;=0,0,MIN(G318+N(H318),D318+F318))</f>
        <v/>
      </c>
      <c r="K318" s="25">
        <f>IF(J318&lt;=0,0,MAX(0,J318-F318))</f>
        <v/>
      </c>
      <c r="L318" s="27">
        <f>IF(D318&lt;=0,0,MAX(0,D318-K318))</f>
        <v/>
      </c>
      <c r="M318" s="28">
        <f>IF(OR(L318&lt;=0,G318&lt;=L318*E318/12),0,MAX(0,ROUNDUP(-LN(1-L318*(E318/12)/G318)/LN(1+E318/12),0)))</f>
        <v/>
      </c>
    </row>
    <row r="319" ht="18" customHeight="1">
      <c r="A319" s="13" t="n">
        <v>317</v>
      </c>
      <c r="B319" s="14">
        <f>IF(C319&lt;=Parametry!$C$6,DATE(Parametry!$C$12+INT((Parametry!$C$13+317-2)/12),MOD(Parametry!$C$13+317-2,12)+1,Parametry!$C$11),"")</f>
        <v/>
      </c>
      <c r="C319" s="15" t="n">
        <v>317</v>
      </c>
      <c r="D319" s="16">
        <f>IF(C319&lt;=Parametry!$C$6,L318,0)</f>
        <v/>
      </c>
      <c r="E319" s="17">
        <f>IF(OR(D319&lt;=0,C319&gt;Parametry!$C$6),0,IF(C319&lt;=Parametry!$C$9,Parametry!$C$8,Parametry!$C$10))</f>
        <v/>
      </c>
      <c r="F319" s="16">
        <f>IF(D319&lt;=0,0,D319*E319/12)</f>
        <v/>
      </c>
      <c r="G319" s="16">
        <f>IF(OR(D319&lt;=0,C319&gt;Parametry!$C$6),0,ROUND(-PMT(E319/12,MAX(1,Parametry!$C$6-C319+1),D319),2))</f>
        <v/>
      </c>
      <c r="H319" s="18" t="n"/>
      <c r="I319" s="19">
        <f>IF(OR(L319&lt;=0,C319&gt;=Parametry!$C$6),0,ROUND(-PMT(IF(C319+1&lt;=Parametry!$C$9,Parametry!$C$8,Parametry!$C$10)/12,MAX(1,Parametry!$C$6-C319),L319),2))</f>
        <v/>
      </c>
      <c r="J319" s="20">
        <f>IF(D319&lt;=0,0,MIN(G319+N(H319),D319+F319))</f>
        <v/>
      </c>
      <c r="K319" s="16">
        <f>IF(J319&lt;=0,0,MAX(0,J319-F319))</f>
        <v/>
      </c>
      <c r="L319" s="20">
        <f>IF(D319&lt;=0,0,MAX(0,D319-K319))</f>
        <v/>
      </c>
      <c r="M319" s="21">
        <f>IF(OR(L319&lt;=0,G319&lt;=L319*E319/12),0,MAX(0,ROUNDUP(-LN(1-L319*(E319/12)/G319)/LN(1+E319/12),0)))</f>
        <v/>
      </c>
    </row>
    <row r="320" ht="18" customHeight="1">
      <c r="A320" s="22" t="n">
        <v>318</v>
      </c>
      <c r="B320" s="23">
        <f>IF(C320&lt;=Parametry!$C$6,DATE(Parametry!$C$12+INT((Parametry!$C$13+318-2)/12),MOD(Parametry!$C$13+318-2,12)+1,Parametry!$C$11),"")</f>
        <v/>
      </c>
      <c r="C320" s="24" t="n">
        <v>318</v>
      </c>
      <c r="D320" s="25">
        <f>IF(C320&lt;=Parametry!$C$6,L319,0)</f>
        <v/>
      </c>
      <c r="E320" s="26">
        <f>IF(OR(D320&lt;=0,C320&gt;Parametry!$C$6),0,IF(C320&lt;=Parametry!$C$9,Parametry!$C$8,Parametry!$C$10))</f>
        <v/>
      </c>
      <c r="F320" s="25">
        <f>IF(D320&lt;=0,0,D320*E320/12)</f>
        <v/>
      </c>
      <c r="G320" s="25">
        <f>IF(OR(D320&lt;=0,C320&gt;Parametry!$C$6),0,ROUND(-PMT(E320/12,MAX(1,Parametry!$C$6-C320+1),D320),2))</f>
        <v/>
      </c>
      <c r="H320" s="18" t="n"/>
      <c r="I320" s="19">
        <f>IF(OR(L320&lt;=0,C320&gt;=Parametry!$C$6),0,ROUND(-PMT(IF(C320+1&lt;=Parametry!$C$9,Parametry!$C$8,Parametry!$C$10)/12,MAX(1,Parametry!$C$6-C320),L320),2))</f>
        <v/>
      </c>
      <c r="J320" s="27">
        <f>IF(D320&lt;=0,0,MIN(G320+N(H320),D320+F320))</f>
        <v/>
      </c>
      <c r="K320" s="25">
        <f>IF(J320&lt;=0,0,MAX(0,J320-F320))</f>
        <v/>
      </c>
      <c r="L320" s="27">
        <f>IF(D320&lt;=0,0,MAX(0,D320-K320))</f>
        <v/>
      </c>
      <c r="M320" s="28">
        <f>IF(OR(L320&lt;=0,G320&lt;=L320*E320/12),0,MAX(0,ROUNDUP(-LN(1-L320*(E320/12)/G320)/LN(1+E320/12),0)))</f>
        <v/>
      </c>
    </row>
    <row r="321" ht="18" customHeight="1">
      <c r="A321" s="13" t="n">
        <v>319</v>
      </c>
      <c r="B321" s="14">
        <f>IF(C321&lt;=Parametry!$C$6,DATE(Parametry!$C$12+INT((Parametry!$C$13+319-2)/12),MOD(Parametry!$C$13+319-2,12)+1,Parametry!$C$11),"")</f>
        <v/>
      </c>
      <c r="C321" s="15" t="n">
        <v>319</v>
      </c>
      <c r="D321" s="16">
        <f>IF(C321&lt;=Parametry!$C$6,L320,0)</f>
        <v/>
      </c>
      <c r="E321" s="17">
        <f>IF(OR(D321&lt;=0,C321&gt;Parametry!$C$6),0,IF(C321&lt;=Parametry!$C$9,Parametry!$C$8,Parametry!$C$10))</f>
        <v/>
      </c>
      <c r="F321" s="16">
        <f>IF(D321&lt;=0,0,D321*E321/12)</f>
        <v/>
      </c>
      <c r="G321" s="16">
        <f>IF(OR(D321&lt;=0,C321&gt;Parametry!$C$6),0,ROUND(-PMT(E321/12,MAX(1,Parametry!$C$6-C321+1),D321),2))</f>
        <v/>
      </c>
      <c r="H321" s="18" t="n"/>
      <c r="I321" s="19">
        <f>IF(OR(L321&lt;=0,C321&gt;=Parametry!$C$6),0,ROUND(-PMT(IF(C321+1&lt;=Parametry!$C$9,Parametry!$C$8,Parametry!$C$10)/12,MAX(1,Parametry!$C$6-C321),L321),2))</f>
        <v/>
      </c>
      <c r="J321" s="20">
        <f>IF(D321&lt;=0,0,MIN(G321+N(H321),D321+F321))</f>
        <v/>
      </c>
      <c r="K321" s="16">
        <f>IF(J321&lt;=0,0,MAX(0,J321-F321))</f>
        <v/>
      </c>
      <c r="L321" s="20">
        <f>IF(D321&lt;=0,0,MAX(0,D321-K321))</f>
        <v/>
      </c>
      <c r="M321" s="21">
        <f>IF(OR(L321&lt;=0,G321&lt;=L321*E321/12),0,MAX(0,ROUNDUP(-LN(1-L321*(E321/12)/G321)/LN(1+E321/12),0)))</f>
        <v/>
      </c>
    </row>
    <row r="322" ht="18" customHeight="1">
      <c r="A322" s="22" t="n">
        <v>320</v>
      </c>
      <c r="B322" s="23">
        <f>IF(C322&lt;=Parametry!$C$6,DATE(Parametry!$C$12+INT((Parametry!$C$13+320-2)/12),MOD(Parametry!$C$13+320-2,12)+1,Parametry!$C$11),"")</f>
        <v/>
      </c>
      <c r="C322" s="24" t="n">
        <v>320</v>
      </c>
      <c r="D322" s="25">
        <f>IF(C322&lt;=Parametry!$C$6,L321,0)</f>
        <v/>
      </c>
      <c r="E322" s="26">
        <f>IF(OR(D322&lt;=0,C322&gt;Parametry!$C$6),0,IF(C322&lt;=Parametry!$C$9,Parametry!$C$8,Parametry!$C$10))</f>
        <v/>
      </c>
      <c r="F322" s="25">
        <f>IF(D322&lt;=0,0,D322*E322/12)</f>
        <v/>
      </c>
      <c r="G322" s="25">
        <f>IF(OR(D322&lt;=0,C322&gt;Parametry!$C$6),0,ROUND(-PMT(E322/12,MAX(1,Parametry!$C$6-C322+1),D322),2))</f>
        <v/>
      </c>
      <c r="H322" s="18" t="n"/>
      <c r="I322" s="19">
        <f>IF(OR(L322&lt;=0,C322&gt;=Parametry!$C$6),0,ROUND(-PMT(IF(C322+1&lt;=Parametry!$C$9,Parametry!$C$8,Parametry!$C$10)/12,MAX(1,Parametry!$C$6-C322),L322),2))</f>
        <v/>
      </c>
      <c r="J322" s="27">
        <f>IF(D322&lt;=0,0,MIN(G322+N(H322),D322+F322))</f>
        <v/>
      </c>
      <c r="K322" s="25">
        <f>IF(J322&lt;=0,0,MAX(0,J322-F322))</f>
        <v/>
      </c>
      <c r="L322" s="27">
        <f>IF(D322&lt;=0,0,MAX(0,D322-K322))</f>
        <v/>
      </c>
      <c r="M322" s="28">
        <f>IF(OR(L322&lt;=0,G322&lt;=L322*E322/12),0,MAX(0,ROUNDUP(-LN(1-L322*(E322/12)/G322)/LN(1+E322/12),0)))</f>
        <v/>
      </c>
    </row>
    <row r="323" ht="18" customHeight="1">
      <c r="A323" s="13" t="n">
        <v>321</v>
      </c>
      <c r="B323" s="14">
        <f>IF(C323&lt;=Parametry!$C$6,DATE(Parametry!$C$12+INT((Parametry!$C$13+321-2)/12),MOD(Parametry!$C$13+321-2,12)+1,Parametry!$C$11),"")</f>
        <v/>
      </c>
      <c r="C323" s="15" t="n">
        <v>321</v>
      </c>
      <c r="D323" s="16">
        <f>IF(C323&lt;=Parametry!$C$6,L322,0)</f>
        <v/>
      </c>
      <c r="E323" s="17">
        <f>IF(OR(D323&lt;=0,C323&gt;Parametry!$C$6),0,IF(C323&lt;=Parametry!$C$9,Parametry!$C$8,Parametry!$C$10))</f>
        <v/>
      </c>
      <c r="F323" s="16">
        <f>IF(D323&lt;=0,0,D323*E323/12)</f>
        <v/>
      </c>
      <c r="G323" s="16">
        <f>IF(OR(D323&lt;=0,C323&gt;Parametry!$C$6),0,ROUND(-PMT(E323/12,MAX(1,Parametry!$C$6-C323+1),D323),2))</f>
        <v/>
      </c>
      <c r="H323" s="18" t="n"/>
      <c r="I323" s="19">
        <f>IF(OR(L323&lt;=0,C323&gt;=Parametry!$C$6),0,ROUND(-PMT(IF(C323+1&lt;=Parametry!$C$9,Parametry!$C$8,Parametry!$C$10)/12,MAX(1,Parametry!$C$6-C323),L323),2))</f>
        <v/>
      </c>
      <c r="J323" s="20">
        <f>IF(D323&lt;=0,0,MIN(G323+N(H323),D323+F323))</f>
        <v/>
      </c>
      <c r="K323" s="16">
        <f>IF(J323&lt;=0,0,MAX(0,J323-F323))</f>
        <v/>
      </c>
      <c r="L323" s="20">
        <f>IF(D323&lt;=0,0,MAX(0,D323-K323))</f>
        <v/>
      </c>
      <c r="M323" s="21">
        <f>IF(OR(L323&lt;=0,G323&lt;=L323*E323/12),0,MAX(0,ROUNDUP(-LN(1-L323*(E323/12)/G323)/LN(1+E323/12),0)))</f>
        <v/>
      </c>
    </row>
    <row r="324" ht="18" customHeight="1">
      <c r="A324" s="22" t="n">
        <v>322</v>
      </c>
      <c r="B324" s="23">
        <f>IF(C324&lt;=Parametry!$C$6,DATE(Parametry!$C$12+INT((Parametry!$C$13+322-2)/12),MOD(Parametry!$C$13+322-2,12)+1,Parametry!$C$11),"")</f>
        <v/>
      </c>
      <c r="C324" s="24" t="n">
        <v>322</v>
      </c>
      <c r="D324" s="25">
        <f>IF(C324&lt;=Parametry!$C$6,L323,0)</f>
        <v/>
      </c>
      <c r="E324" s="26">
        <f>IF(OR(D324&lt;=0,C324&gt;Parametry!$C$6),0,IF(C324&lt;=Parametry!$C$9,Parametry!$C$8,Parametry!$C$10))</f>
        <v/>
      </c>
      <c r="F324" s="25">
        <f>IF(D324&lt;=0,0,D324*E324/12)</f>
        <v/>
      </c>
      <c r="G324" s="25">
        <f>IF(OR(D324&lt;=0,C324&gt;Parametry!$C$6),0,ROUND(-PMT(E324/12,MAX(1,Parametry!$C$6-C324+1),D324),2))</f>
        <v/>
      </c>
      <c r="H324" s="18" t="n"/>
      <c r="I324" s="19">
        <f>IF(OR(L324&lt;=0,C324&gt;=Parametry!$C$6),0,ROUND(-PMT(IF(C324+1&lt;=Parametry!$C$9,Parametry!$C$8,Parametry!$C$10)/12,MAX(1,Parametry!$C$6-C324),L324),2))</f>
        <v/>
      </c>
      <c r="J324" s="27">
        <f>IF(D324&lt;=0,0,MIN(G324+N(H324),D324+F324))</f>
        <v/>
      </c>
      <c r="K324" s="25">
        <f>IF(J324&lt;=0,0,MAX(0,J324-F324))</f>
        <v/>
      </c>
      <c r="L324" s="27">
        <f>IF(D324&lt;=0,0,MAX(0,D324-K324))</f>
        <v/>
      </c>
      <c r="M324" s="28">
        <f>IF(OR(L324&lt;=0,G324&lt;=L324*E324/12),0,MAX(0,ROUNDUP(-LN(1-L324*(E324/12)/G324)/LN(1+E324/12),0)))</f>
        <v/>
      </c>
    </row>
    <row r="325" ht="18" customHeight="1">
      <c r="A325" s="13" t="n">
        <v>323</v>
      </c>
      <c r="B325" s="14">
        <f>IF(C325&lt;=Parametry!$C$6,DATE(Parametry!$C$12+INT((Parametry!$C$13+323-2)/12),MOD(Parametry!$C$13+323-2,12)+1,Parametry!$C$11),"")</f>
        <v/>
      </c>
      <c r="C325" s="15" t="n">
        <v>323</v>
      </c>
      <c r="D325" s="16">
        <f>IF(C325&lt;=Parametry!$C$6,L324,0)</f>
        <v/>
      </c>
      <c r="E325" s="17">
        <f>IF(OR(D325&lt;=0,C325&gt;Parametry!$C$6),0,IF(C325&lt;=Parametry!$C$9,Parametry!$C$8,Parametry!$C$10))</f>
        <v/>
      </c>
      <c r="F325" s="16">
        <f>IF(D325&lt;=0,0,D325*E325/12)</f>
        <v/>
      </c>
      <c r="G325" s="16">
        <f>IF(OR(D325&lt;=0,C325&gt;Parametry!$C$6),0,ROUND(-PMT(E325/12,MAX(1,Parametry!$C$6-C325+1),D325),2))</f>
        <v/>
      </c>
      <c r="H325" s="18" t="n"/>
      <c r="I325" s="19">
        <f>IF(OR(L325&lt;=0,C325&gt;=Parametry!$C$6),0,ROUND(-PMT(IF(C325+1&lt;=Parametry!$C$9,Parametry!$C$8,Parametry!$C$10)/12,MAX(1,Parametry!$C$6-C325),L325),2))</f>
        <v/>
      </c>
      <c r="J325" s="20">
        <f>IF(D325&lt;=0,0,MIN(G325+N(H325),D325+F325))</f>
        <v/>
      </c>
      <c r="K325" s="16">
        <f>IF(J325&lt;=0,0,MAX(0,J325-F325))</f>
        <v/>
      </c>
      <c r="L325" s="20">
        <f>IF(D325&lt;=0,0,MAX(0,D325-K325))</f>
        <v/>
      </c>
      <c r="M325" s="21">
        <f>IF(OR(L325&lt;=0,G325&lt;=L325*E325/12),0,MAX(0,ROUNDUP(-LN(1-L325*(E325/12)/G325)/LN(1+E325/12),0)))</f>
        <v/>
      </c>
    </row>
    <row r="326" ht="18" customHeight="1">
      <c r="A326" s="22" t="n">
        <v>324</v>
      </c>
      <c r="B326" s="23">
        <f>IF(C326&lt;=Parametry!$C$6,DATE(Parametry!$C$12+INT((Parametry!$C$13+324-2)/12),MOD(Parametry!$C$13+324-2,12)+1,Parametry!$C$11),"")</f>
        <v/>
      </c>
      <c r="C326" s="24" t="n">
        <v>324</v>
      </c>
      <c r="D326" s="25">
        <f>IF(C326&lt;=Parametry!$C$6,L325,0)</f>
        <v/>
      </c>
      <c r="E326" s="26">
        <f>IF(OR(D326&lt;=0,C326&gt;Parametry!$C$6),0,IF(C326&lt;=Parametry!$C$9,Parametry!$C$8,Parametry!$C$10))</f>
        <v/>
      </c>
      <c r="F326" s="25">
        <f>IF(D326&lt;=0,0,D326*E326/12)</f>
        <v/>
      </c>
      <c r="G326" s="25">
        <f>IF(OR(D326&lt;=0,C326&gt;Parametry!$C$6),0,ROUND(-PMT(E326/12,MAX(1,Parametry!$C$6-C326+1),D326),2))</f>
        <v/>
      </c>
      <c r="H326" s="18" t="n"/>
      <c r="I326" s="19">
        <f>IF(OR(L326&lt;=0,C326&gt;=Parametry!$C$6),0,ROUND(-PMT(IF(C326+1&lt;=Parametry!$C$9,Parametry!$C$8,Parametry!$C$10)/12,MAX(1,Parametry!$C$6-C326),L326),2))</f>
        <v/>
      </c>
      <c r="J326" s="27">
        <f>IF(D326&lt;=0,0,MIN(G326+N(H326),D326+F326))</f>
        <v/>
      </c>
      <c r="K326" s="25">
        <f>IF(J326&lt;=0,0,MAX(0,J326-F326))</f>
        <v/>
      </c>
      <c r="L326" s="27">
        <f>IF(D326&lt;=0,0,MAX(0,D326-K326))</f>
        <v/>
      </c>
      <c r="M326" s="28">
        <f>IF(OR(L326&lt;=0,G326&lt;=L326*E326/12),0,MAX(0,ROUNDUP(-LN(1-L326*(E326/12)/G326)/LN(1+E326/12),0)))</f>
        <v/>
      </c>
    </row>
    <row r="327" ht="18" customHeight="1">
      <c r="A327" s="13" t="n">
        <v>325</v>
      </c>
      <c r="B327" s="14">
        <f>IF(C327&lt;=Parametry!$C$6,DATE(Parametry!$C$12+INT((Parametry!$C$13+325-2)/12),MOD(Parametry!$C$13+325-2,12)+1,Parametry!$C$11),"")</f>
        <v/>
      </c>
      <c r="C327" s="15" t="n">
        <v>325</v>
      </c>
      <c r="D327" s="16">
        <f>IF(C327&lt;=Parametry!$C$6,L326,0)</f>
        <v/>
      </c>
      <c r="E327" s="17">
        <f>IF(OR(D327&lt;=0,C327&gt;Parametry!$C$6),0,IF(C327&lt;=Parametry!$C$9,Parametry!$C$8,Parametry!$C$10))</f>
        <v/>
      </c>
      <c r="F327" s="16">
        <f>IF(D327&lt;=0,0,D327*E327/12)</f>
        <v/>
      </c>
      <c r="G327" s="16">
        <f>IF(OR(D327&lt;=0,C327&gt;Parametry!$C$6),0,ROUND(-PMT(E327/12,MAX(1,Parametry!$C$6-C327+1),D327),2))</f>
        <v/>
      </c>
      <c r="H327" s="18" t="n"/>
      <c r="I327" s="19">
        <f>IF(OR(L327&lt;=0,C327&gt;=Parametry!$C$6),0,ROUND(-PMT(IF(C327+1&lt;=Parametry!$C$9,Parametry!$C$8,Parametry!$C$10)/12,MAX(1,Parametry!$C$6-C327),L327),2))</f>
        <v/>
      </c>
      <c r="J327" s="20">
        <f>IF(D327&lt;=0,0,MIN(G327+N(H327),D327+F327))</f>
        <v/>
      </c>
      <c r="K327" s="16">
        <f>IF(J327&lt;=0,0,MAX(0,J327-F327))</f>
        <v/>
      </c>
      <c r="L327" s="20">
        <f>IF(D327&lt;=0,0,MAX(0,D327-K327))</f>
        <v/>
      </c>
      <c r="M327" s="21">
        <f>IF(OR(L327&lt;=0,G327&lt;=L327*E327/12),0,MAX(0,ROUNDUP(-LN(1-L327*(E327/12)/G327)/LN(1+E327/12),0)))</f>
        <v/>
      </c>
    </row>
  </sheetData>
  <mergeCells count="1">
    <mergeCell ref="A1:M1"/>
  </mergeCells>
  <conditionalFormatting sqref="E3:E327">
    <cfRule type="cellIs" priority="1" operator="greaterThan" dxfId="0">
      <formula>0.058</formula>
    </cfRule>
  </conditionalFormatting>
  <conditionalFormatting sqref="H3:H327">
    <cfRule type="expression" priority="2" dxfId="1">
      <formula>NOT(ISBLANK(H3))</formula>
    </cfRule>
  </conditionalFormatting>
  <dataValidations count="1">
    <dataValidation sqref="H3:H327" showDropDown="0" showInputMessage="0" showErrorMessage="0" allowBlank="1" errorTitle="Za mała nadpłata" error="Nadpłata powinna być pusta albo nie mniejsza niż sugerowana nadpłata." promptTitle="Nadpłata" prompt="Wpisz kwotę nadpłaty nie mniejszą niż sugerowana nadpłata lub zostaw pole puste." type="decimal" operator="greaterThanOrEqual">
      <formula1>I3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22" customWidth="1" min="3" max="3"/>
    <col width="22" customWidth="1" min="4" max="4"/>
  </cols>
  <sheetData>
    <row r="1" ht="10" customHeight="1"/>
    <row r="2" ht="36" customHeight="1">
      <c r="B2" s="29" t="inlineStr">
        <is>
          <t>PODSUMOWANIE SPŁATY KREDYTU</t>
        </is>
      </c>
      <c r="C2" s="2" t="n"/>
      <c r="D2" s="3" t="n"/>
    </row>
    <row r="3" ht="8" customHeight="1"/>
    <row r="4" ht="24" customHeight="1">
      <c r="B4" s="30" t="inlineStr">
        <is>
          <t>BEZ NADPŁAT</t>
        </is>
      </c>
      <c r="C4" s="2" t="n"/>
      <c r="D4" s="3" t="n"/>
    </row>
    <row r="5" ht="22" customHeight="1">
      <c r="B5" s="31" t="inlineStr">
        <is>
          <t>Suma odsetek z harmonogramu (ogółem)</t>
        </is>
      </c>
      <c r="C5" s="32">
        <f>SUMPRODUCT(Harmonogram!F3:F327)</f>
        <v/>
      </c>
    </row>
    <row r="6" ht="22" customHeight="1">
      <c r="B6" s="31" t="inlineStr">
        <is>
          <t>Całkowita kwota spłat (kapitał + odsetki + nadpłaty)</t>
        </is>
      </c>
      <c r="C6" s="32">
        <f>SUMPRODUCT(Harmonogram!J3:J327)</f>
        <v/>
      </c>
    </row>
    <row r="7" ht="22" customHeight="1">
      <c r="B7" s="31" t="inlineStr">
        <is>
          <t>Suma nadpłat wpisanych</t>
        </is>
      </c>
      <c r="C7" s="32">
        <f>SUMIF(Harmonogram!H3:H327,"&gt;"&amp;0,Harmonogram!H3:H327)</f>
        <v/>
      </c>
    </row>
    <row r="8" ht="8" customHeight="1"/>
    <row r="9" ht="24" customHeight="1">
      <c r="B9" s="30" t="inlineStr">
        <is>
          <t>OSZCZĘDNOŚCI DZIĘKI NADPŁATOM</t>
        </is>
      </c>
      <c r="C9" s="2" t="n"/>
      <c r="D9" s="3" t="n"/>
    </row>
    <row r="10" ht="22" customHeight="1">
      <c r="B10" s="31" t="inlineStr">
        <is>
          <t>Ostatnia rata z nadpłatami (numer raty w harmonogramie)</t>
        </is>
      </c>
      <c r="C10" s="33">
        <f>IFERROR(MATCH(TRUE,INDEX(Harmonogram!L3:L327&lt;=0,),0),Parametry!$C$6)</f>
        <v/>
      </c>
      <c r="D10" s="34" t="inlineStr">
        <is>
          <t>* Jeśli brak nadpłat, pokazuje ostatnią ratę z tabeli</t>
        </is>
      </c>
    </row>
    <row r="11" ht="22" customHeight="1">
      <c r="B11" s="31" t="inlineStr">
        <is>
          <t>Liczba rat bez nadpłat (parametr)</t>
        </is>
      </c>
      <c r="C11" s="35">
        <f>Parametry!$C$6</f>
        <v/>
      </c>
    </row>
    <row r="12" ht="22" customHeight="1">
      <c r="B12" s="31" t="inlineStr">
        <is>
          <t>Liczba rat skrócona dzięki nadpłatom</t>
        </is>
      </c>
      <c r="C12" s="33">
        <f>MAX(0,C11-C10)</f>
        <v/>
      </c>
    </row>
    <row r="13" ht="22" customHeight="1">
      <c r="B13" s="31" t="inlineStr">
        <is>
          <t>Data ostatecznej spłaty (z nadpłatami)</t>
        </is>
      </c>
      <c r="C13" s="36">
        <f>DATE(Parametry!$C$12+INT((Parametry!$C$13+C10-2)/12),MOD(Parametry!$C$13+C10-2,12)+1,Parametry!$C$11)</f>
        <v/>
      </c>
    </row>
    <row r="14" ht="22" customHeight="1">
      <c r="B14" s="31" t="inlineStr">
        <is>
          <t>Data ostatecznej spłaty (bez nadpłat)</t>
        </is>
      </c>
      <c r="C14" s="37">
        <f>DATE(Parametry!$C$12+INT((Parametry!$C$13+Parametry!$C$6-2)/12),MOD(Parametry!$C$13+Parametry!$C$6-2,12)+1,Parametry!$C$11)</f>
        <v/>
      </c>
    </row>
    <row r="15" ht="8" customHeight="1"/>
    <row r="16" ht="24" customHeight="1">
      <c r="B16" s="30" t="inlineStr">
        <is>
          <t>SZACOWANE ODSETKI – PORÓWNANIE</t>
        </is>
      </c>
      <c r="C16" s="2" t="n"/>
      <c r="D16" s="3" t="n"/>
    </row>
    <row r="17" ht="22" customHeight="1">
      <c r="B17" s="31" t="inlineStr">
        <is>
          <t>Teoretyczne odsetki bez nadpłat (annuity)</t>
        </is>
      </c>
      <c r="C17" s="32">
        <f>SUMPRODUCT(Harmonogram!G3:G327)-Parametry!$C$5</f>
        <v/>
      </c>
    </row>
    <row r="18" ht="22" customHeight="1">
      <c r="B18" s="31" t="inlineStr">
        <is>
          <t>Rzeczywiste odsetki z harmonogramu</t>
        </is>
      </c>
      <c r="C18" s="32">
        <f>C5</f>
        <v/>
      </c>
    </row>
    <row r="19" ht="22" customHeight="1">
      <c r="B19" s="31" t="inlineStr">
        <is>
          <t>Oszczędność na odsetkach (szacunek)</t>
        </is>
      </c>
      <c r="C19" s="38">
        <f>MAX(0,C17-C18)</f>
        <v/>
      </c>
    </row>
  </sheetData>
  <mergeCells count="4">
    <mergeCell ref="B16:D16"/>
    <mergeCell ref="B9:D9"/>
    <mergeCell ref="B2:D2"/>
    <mergeCell ref="B4:D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2026-07-22T10:04:24Z</dcterms:created>
  <dcterms:modified xsi:type="dcterms:W3CDTF">2026-07-22T10:35:16Z</dcterms:modified>
</cp:coreProperties>
</file>